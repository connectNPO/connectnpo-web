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wh\Desktop\"/>
    </mc:Choice>
  </mc:AlternateContent>
  <xr:revisionPtr revIDLastSave="0" documentId="8_{C10790A6-0ED8-4A07-BFD2-9BD9B7F2F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 of Activity by Custom" sheetId="1" r:id="rId1"/>
    <sheet name="Post fire webinar" sheetId="2" r:id="rId2"/>
    <sheet name="Bioremediation of Fire impacted" sheetId="3" r:id="rId3"/>
    <sheet name="Wildfire, Floods" sheetId="4" r:id="rId4"/>
    <sheet name="SIC urban soil" sheetId="5" r:id="rId5"/>
    <sheet name="FireAid" sheetId="6" r:id="rId6"/>
    <sheet name="P&amp;L by Class" sheetId="7" r:id="rId7"/>
    <sheet name="P&amp;L" sheetId="8" r:id="rId8"/>
    <sheet name="stmt of financial posi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9" l="1"/>
  <c r="B39" i="9"/>
  <c r="B36" i="9"/>
  <c r="B33" i="9"/>
  <c r="B40" i="9" s="1"/>
  <c r="B41" i="9" s="1"/>
  <c r="B46" i="9" s="1"/>
  <c r="B26" i="9"/>
  <c r="B22" i="9"/>
  <c r="B23" i="9" s="1"/>
  <c r="B17" i="9"/>
  <c r="B13" i="9"/>
  <c r="B10" i="9"/>
  <c r="B18" i="9" s="1"/>
  <c r="B27" i="9" s="1"/>
  <c r="B67" i="8"/>
  <c r="B64" i="8"/>
  <c r="B56" i="8"/>
  <c r="B50" i="8"/>
  <c r="B43" i="8"/>
  <c r="B31" i="8"/>
  <c r="B23" i="8"/>
  <c r="B60" i="8" s="1"/>
  <c r="B15" i="8"/>
  <c r="B10" i="8"/>
  <c r="B16" i="8" s="1"/>
  <c r="C69" i="7"/>
  <c r="F69" i="7" s="1"/>
  <c r="K68" i="7"/>
  <c r="F68" i="7"/>
  <c r="C68" i="7"/>
  <c r="K67" i="7"/>
  <c r="F67" i="7"/>
  <c r="G65" i="7"/>
  <c r="G69" i="7" s="1"/>
  <c r="K64" i="7"/>
  <c r="F60" i="7"/>
  <c r="K60" i="7" s="1"/>
  <c r="K59" i="7"/>
  <c r="F58" i="7"/>
  <c r="K58" i="7" s="1"/>
  <c r="F57" i="7"/>
  <c r="K57" i="7" s="1"/>
  <c r="C57" i="7"/>
  <c r="F56" i="7"/>
  <c r="K56" i="7" s="1"/>
  <c r="F55" i="7"/>
  <c r="K55" i="7" s="1"/>
  <c r="F53" i="7"/>
  <c r="K53" i="7" s="1"/>
  <c r="K52" i="7"/>
  <c r="F52" i="7"/>
  <c r="H51" i="7"/>
  <c r="G51" i="7"/>
  <c r="E51" i="7"/>
  <c r="F51" i="7" s="1"/>
  <c r="K51" i="7" s="1"/>
  <c r="D51" i="7"/>
  <c r="C51" i="7"/>
  <c r="B51" i="7"/>
  <c r="F50" i="7"/>
  <c r="K50" i="7" s="1"/>
  <c r="F49" i="7"/>
  <c r="K49" i="7" s="1"/>
  <c r="F48" i="7"/>
  <c r="K48" i="7" s="1"/>
  <c r="K47" i="7"/>
  <c r="F47" i="7"/>
  <c r="F46" i="7"/>
  <c r="K46" i="7" s="1"/>
  <c r="G44" i="7"/>
  <c r="E44" i="7"/>
  <c r="F44" i="7" s="1"/>
  <c r="K44" i="7" s="1"/>
  <c r="D44" i="7"/>
  <c r="C44" i="7"/>
  <c r="K43" i="7"/>
  <c r="K42" i="7"/>
  <c r="F41" i="7"/>
  <c r="K41" i="7" s="1"/>
  <c r="K40" i="7"/>
  <c r="F39" i="7"/>
  <c r="K39" i="7" s="1"/>
  <c r="K38" i="7"/>
  <c r="F38" i="7"/>
  <c r="K37" i="7"/>
  <c r="F37" i="7"/>
  <c r="F36" i="7"/>
  <c r="K36" i="7" s="1"/>
  <c r="F35" i="7"/>
  <c r="K35" i="7" s="1"/>
  <c r="K34" i="7"/>
  <c r="H32" i="7"/>
  <c r="H61" i="7" s="1"/>
  <c r="H62" i="7" s="1"/>
  <c r="H70" i="7" s="1"/>
  <c r="G32" i="7"/>
  <c r="E32" i="7"/>
  <c r="F32" i="7" s="1"/>
  <c r="K32" i="7" s="1"/>
  <c r="D32" i="7"/>
  <c r="D61" i="7" s="1"/>
  <c r="C32" i="7"/>
  <c r="C61" i="7" s="1"/>
  <c r="B32" i="7"/>
  <c r="F31" i="7"/>
  <c r="K31" i="7" s="1"/>
  <c r="K30" i="7"/>
  <c r="F29" i="7"/>
  <c r="K29" i="7" s="1"/>
  <c r="F28" i="7"/>
  <c r="K28" i="7" s="1"/>
  <c r="K27" i="7"/>
  <c r="K26" i="7"/>
  <c r="H24" i="7"/>
  <c r="G24" i="7"/>
  <c r="G61" i="7" s="1"/>
  <c r="C24" i="7"/>
  <c r="F24" i="7" s="1"/>
  <c r="K24" i="7" s="1"/>
  <c r="B24" i="7"/>
  <c r="B61" i="7" s="1"/>
  <c r="B62" i="7" s="1"/>
  <c r="B70" i="7" s="1"/>
  <c r="K23" i="7"/>
  <c r="F23" i="7"/>
  <c r="K22" i="7"/>
  <c r="F22" i="7"/>
  <c r="F21" i="7"/>
  <c r="K21" i="7" s="1"/>
  <c r="J15" i="7"/>
  <c r="J16" i="7" s="1"/>
  <c r="J18" i="7" s="1"/>
  <c r="J62" i="7" s="1"/>
  <c r="J70" i="7" s="1"/>
  <c r="I15" i="7"/>
  <c r="I16" i="7" s="1"/>
  <c r="I18" i="7" s="1"/>
  <c r="I62" i="7" s="1"/>
  <c r="I70" i="7" s="1"/>
  <c r="E15" i="7"/>
  <c r="F15" i="7" s="1"/>
  <c r="K15" i="7" s="1"/>
  <c r="D15" i="7"/>
  <c r="C15" i="7"/>
  <c r="F14" i="7"/>
  <c r="K14" i="7" s="1"/>
  <c r="K13" i="7"/>
  <c r="F13" i="7"/>
  <c r="F12" i="7"/>
  <c r="K12" i="7" s="1"/>
  <c r="K11" i="7"/>
  <c r="G10" i="7"/>
  <c r="G16" i="7" s="1"/>
  <c r="G18" i="7" s="1"/>
  <c r="G62" i="7" s="1"/>
  <c r="G70" i="7" s="1"/>
  <c r="D10" i="7"/>
  <c r="D16" i="7" s="1"/>
  <c r="D18" i="7" s="1"/>
  <c r="D62" i="7" s="1"/>
  <c r="D70" i="7" s="1"/>
  <c r="C10" i="7"/>
  <c r="C16" i="7" s="1"/>
  <c r="C18" i="7" s="1"/>
  <c r="C62" i="7" s="1"/>
  <c r="C70" i="7" s="1"/>
  <c r="F9" i="7"/>
  <c r="K9" i="7" s="1"/>
  <c r="F8" i="7"/>
  <c r="K8" i="7" s="1"/>
  <c r="F7" i="7"/>
  <c r="K7" i="7" s="1"/>
  <c r="B40" i="6"/>
  <c r="B41" i="6" s="1"/>
  <c r="B42" i="6" s="1"/>
  <c r="B36" i="6"/>
  <c r="B35" i="6"/>
  <c r="B33" i="6"/>
  <c r="B32" i="6"/>
  <c r="B34" i="6" s="1"/>
  <c r="B30" i="6"/>
  <c r="B28" i="6"/>
  <c r="B27" i="6"/>
  <c r="B29" i="6" s="1"/>
  <c r="B25" i="6"/>
  <c r="B24" i="6"/>
  <c r="B23" i="6"/>
  <c r="B22" i="6"/>
  <c r="B21" i="6"/>
  <c r="B20" i="6"/>
  <c r="B17" i="6"/>
  <c r="B18" i="6" s="1"/>
  <c r="B15" i="6"/>
  <c r="B37" i="6" s="1"/>
  <c r="B14" i="6"/>
  <c r="B8" i="6"/>
  <c r="B9" i="6" s="1"/>
  <c r="B10" i="6" s="1"/>
  <c r="B11" i="6" s="1"/>
  <c r="B14" i="5"/>
  <c r="B15" i="5" s="1"/>
  <c r="B16" i="5" s="1"/>
  <c r="B8" i="5"/>
  <c r="B9" i="5" s="1"/>
  <c r="B10" i="5" s="1"/>
  <c r="B11" i="5" s="1"/>
  <c r="B17" i="5" s="1"/>
  <c r="B18" i="5" s="1"/>
  <c r="B17" i="4"/>
  <c r="B18" i="4" s="1"/>
  <c r="B19" i="4" s="1"/>
  <c r="B11" i="4"/>
  <c r="B12" i="4" s="1"/>
  <c r="B8" i="4"/>
  <c r="B9" i="4" s="1"/>
  <c r="B13" i="4" s="1"/>
  <c r="B14" i="4" s="1"/>
  <c r="B20" i="4" s="1"/>
  <c r="B21" i="4" s="1"/>
  <c r="B11" i="3"/>
  <c r="B12" i="3" s="1"/>
  <c r="B8" i="3"/>
  <c r="B9" i="3" s="1"/>
  <c r="B13" i="3" s="1"/>
  <c r="B14" i="3" s="1"/>
  <c r="B17" i="3" s="1"/>
  <c r="B18" i="3" s="1"/>
  <c r="B12" i="2"/>
  <c r="B13" i="2" s="1"/>
  <c r="B11" i="2"/>
  <c r="B8" i="2"/>
  <c r="B17" i="1"/>
  <c r="B18" i="1" s="1"/>
  <c r="B19" i="1" s="1"/>
  <c r="B12" i="1"/>
  <c r="B11" i="1"/>
  <c r="B8" i="1"/>
  <c r="B9" i="1" s="1"/>
  <c r="B13" i="1" s="1"/>
  <c r="B14" i="1" s="1"/>
  <c r="B20" i="1" s="1"/>
  <c r="B21" i="1" s="1"/>
  <c r="K69" i="7" l="1"/>
  <c r="F10" i="7"/>
  <c r="K10" i="7" s="1"/>
  <c r="E61" i="7"/>
  <c r="F61" i="7" s="1"/>
  <c r="K61" i="7" s="1"/>
  <c r="K65" i="7"/>
  <c r="E16" i="7"/>
  <c r="B38" i="6"/>
  <c r="B43" i="6" s="1"/>
  <c r="B14" i="2"/>
  <c r="B15" i="2" s="1"/>
  <c r="E18" i="7" l="1"/>
  <c r="F16" i="7"/>
  <c r="K16" i="7" s="1"/>
  <c r="E62" i="7" l="1"/>
  <c r="F18" i="7"/>
  <c r="K18" i="7" s="1"/>
  <c r="E70" i="7" l="1"/>
  <c r="F70" i="7" s="1"/>
  <c r="K70" i="7" s="1"/>
  <c r="F62" i="7"/>
  <c r="K62" i="7" s="1"/>
</calcChain>
</file>

<file path=xl/sharedStrings.xml><?xml version="1.0" encoding="utf-8"?>
<sst xmlns="http://schemas.openxmlformats.org/spreadsheetml/2006/main" count="333" uniqueCount="178">
  <si>
    <t>Total</t>
  </si>
  <si>
    <t>Revenue</t>
  </si>
  <si>
    <t xml:space="preserve">   4000 Contributions</t>
  </si>
  <si>
    <t xml:space="preserve">      4001 Contributions - Unrestricted</t>
  </si>
  <si>
    <t xml:space="preserve">   Total 4000 Contributions</t>
  </si>
  <si>
    <t xml:space="preserve">   4200 Program Service Fees</t>
  </si>
  <si>
    <t xml:space="preserve">      4210 Events Revenue</t>
  </si>
  <si>
    <t xml:space="preserve">   Total 4200 Program Service Fees</t>
  </si>
  <si>
    <t>Total Revenue</t>
  </si>
  <si>
    <t>Gross Profit</t>
  </si>
  <si>
    <t>Expenditures</t>
  </si>
  <si>
    <t xml:space="preserve">   5100 Professional Services</t>
  </si>
  <si>
    <t xml:space="preserve">      5106 Professional services - Honorarium</t>
  </si>
  <si>
    <t xml:space="preserve">   Total 5100 Professional Services</t>
  </si>
  <si>
    <t>Total Expenditures</t>
  </si>
  <si>
    <t>Net Operating Revenue</t>
  </si>
  <si>
    <t>Net Revenue</t>
  </si>
  <si>
    <t>Monday, Apr 20, 2026 08:45:12 PM GMT-7 - Accrual Basis</t>
  </si>
  <si>
    <t>Centre for Applied Ecological Remediation</t>
  </si>
  <si>
    <t>Project Profitability for Education, Training &amp; Outreach's Healing SoCal Together</t>
  </si>
  <si>
    <t>July 2025 - March 2026</t>
  </si>
  <si>
    <t>Project Profitability for Education, Training &amp; Outreach's Post Fire Webinar</t>
  </si>
  <si>
    <t xml:space="preserve">   5200 Office &amp; Operating Expenses</t>
  </si>
  <si>
    <t xml:space="preserve">      5204 Software &amp; Web Expenses</t>
  </si>
  <si>
    <t xml:space="preserve">   Total 5200 Office &amp; Operating Expenses</t>
  </si>
  <si>
    <t>Monday, Apr 20, 2026 08:44:42 PM GMT-7 - Accrual Basis</t>
  </si>
  <si>
    <t>Project Profitability for Education, Training &amp; Outreach's Strategies for Bioremediation of Fire-Impacted Sites in So. Cal</t>
  </si>
  <si>
    <t>Monday, Apr 20, 2026 08:44:12 PM GMT-7 - Accrual Basis</t>
  </si>
  <si>
    <t>Project Profitability for Education, Training &amp; Outreach's Wildfire, Floods, Forestry</t>
  </si>
  <si>
    <t xml:space="preserve">   5300 Project Expenses</t>
  </si>
  <si>
    <t xml:space="preserve">      5303 Event Expenses</t>
  </si>
  <si>
    <t xml:space="preserve">   Total 5300 Project Expenses</t>
  </si>
  <si>
    <t>Monday, Apr 20, 2026 08:43:35 PM GMT-7 - Accrual Basis</t>
  </si>
  <si>
    <t>Project Profitability for Ecological Remediation &amp; Research's SIC Urban Soil Networks</t>
  </si>
  <si>
    <t xml:space="preserve">      4240 Service &amp; Contract Revenue</t>
  </si>
  <si>
    <t xml:space="preserve">      5104 Consulting Services</t>
  </si>
  <si>
    <t>Monday, Apr 20, 2026 08:42:19 PM GMT-7 - Accrual Basis</t>
  </si>
  <si>
    <t xml:space="preserve">      4002 Contributions - Temporary Restricted</t>
  </si>
  <si>
    <t xml:space="preserve">   5000 Payroll &amp; Personnel</t>
  </si>
  <si>
    <t xml:space="preserve">      5003 Worker's Compensation</t>
  </si>
  <si>
    <t xml:space="preserve">   Total 5000 Payroll &amp; Personnel</t>
  </si>
  <si>
    <t xml:space="preserve">      5103 Contractors</t>
  </si>
  <si>
    <t xml:space="preserve">      5205 Insurance</t>
  </si>
  <si>
    <t xml:space="preserve">      5206 Postage &amp; Freight</t>
  </si>
  <si>
    <t xml:space="preserve">      5207 Printing &amp; Copying</t>
  </si>
  <si>
    <t xml:space="preserve">      5209 Conference &amp; Training</t>
  </si>
  <si>
    <t xml:space="preserve">      5302 Equipment Purchases</t>
  </si>
  <si>
    <t xml:space="preserve">      5304 Materials &amp; Supplies</t>
  </si>
  <si>
    <t xml:space="preserve">   5410 Vehicle &amp; Transportation</t>
  </si>
  <si>
    <t xml:space="preserve">   5420 Rent &amp; Lease</t>
  </si>
  <si>
    <t xml:space="preserve">      5421 Rent - Facility</t>
  </si>
  <si>
    <t xml:space="preserve">      5423 Rent - Vehicle</t>
  </si>
  <si>
    <t xml:space="preserve">   Total 5420 Rent &amp; Lease</t>
  </si>
  <si>
    <t xml:space="preserve">   5430 Utilities</t>
  </si>
  <si>
    <t xml:space="preserve">   Reimbursable Expenses</t>
  </si>
  <si>
    <t>Other Expenditures</t>
  </si>
  <si>
    <t xml:space="preserve">   5500 Depreciation Expense</t>
  </si>
  <si>
    <t>Total Other Expenditures</t>
  </si>
  <si>
    <t>Net Other Revenue</t>
  </si>
  <si>
    <t>Monday, Apr 20, 2026 08:41:36 PM GMT-7 - Accrual Basis</t>
  </si>
  <si>
    <t>Statement of Activity by Class</t>
  </si>
  <si>
    <t>July 1, 2025-March 31, 2026</t>
  </si>
  <si>
    <t/>
  </si>
  <si>
    <t>100 Programs</t>
  </si>
  <si>
    <t>110 Ecological Remediation &amp; Research</t>
  </si>
  <si>
    <t>120 Education, Training &amp; Outreach</t>
  </si>
  <si>
    <t>130 Community Soil Testing Services</t>
  </si>
  <si>
    <t>Total for 100 Programs</t>
  </si>
  <si>
    <t>200 Management &amp; General</t>
  </si>
  <si>
    <t>300 Fundraising</t>
  </si>
  <si>
    <t>Grant Disbursement (deleted)</t>
  </si>
  <si>
    <t>Not specified</t>
  </si>
  <si>
    <t>4000 Contributions</t>
  </si>
  <si>
    <t>4001 Contributions - Unrestricted</t>
  </si>
  <si>
    <t>4002 Contributions - Temporary Restricted</t>
  </si>
  <si>
    <t>Total for 4000 Contributions</t>
  </si>
  <si>
    <t>4200 Program Service Fees</t>
  </si>
  <si>
    <t>4210 Events Revenue</t>
  </si>
  <si>
    <t>4220 Soil Testing Revenue</t>
  </si>
  <si>
    <t>4240 Service &amp; Contract Revenue</t>
  </si>
  <si>
    <t>Total for 4200 Program Service Fees</t>
  </si>
  <si>
    <t>Total for Revenue</t>
  </si>
  <si>
    <t>Cost of Goods Sold</t>
  </si>
  <si>
    <t>5000 Payroll &amp; Personnel</t>
  </si>
  <si>
    <t>5001 Salaries &amp; Wages</t>
  </si>
  <si>
    <t>5002 Payroll Taxes</t>
  </si>
  <si>
    <t>5003 Worker's Compensation</t>
  </si>
  <si>
    <t>Total for 5000 Payroll &amp; Personnel</t>
  </si>
  <si>
    <t>5100 Professional Services</t>
  </si>
  <si>
    <t>5101 Accounting &amp; Tax</t>
  </si>
  <si>
    <t>5102 Legal &amp; Professional Services</t>
  </si>
  <si>
    <t>5103 Contractors</t>
  </si>
  <si>
    <t>5104 Consulting Services</t>
  </si>
  <si>
    <t>5105 Payroll Services</t>
  </si>
  <si>
    <t>5106 Professional services - Honorarium</t>
  </si>
  <si>
    <t>Total for 5100 Professional Services</t>
  </si>
  <si>
    <t>5200 Office &amp; Operating Expenses</t>
  </si>
  <si>
    <t>5201 Bank &amp; Merchant Fees</t>
  </si>
  <si>
    <t>5202 Dues &amp; Memberships</t>
  </si>
  <si>
    <t>5204 Software &amp; Web Expenses</t>
  </si>
  <si>
    <t>5205 Insurance</t>
  </si>
  <si>
    <t>5206 Postage &amp; Freight</t>
  </si>
  <si>
    <t>5207 Printing &amp; Copying</t>
  </si>
  <si>
    <t>5208 Permits &amp; Licenses Fees</t>
  </si>
  <si>
    <t>5209 Conference &amp; Training</t>
  </si>
  <si>
    <t>5210 Recruiting &amp; Hiring</t>
  </si>
  <si>
    <t>5299 Misc. Expense</t>
  </si>
  <si>
    <t>Total for 5200 Office &amp; Operating Expenses</t>
  </si>
  <si>
    <t>5300 Project Expenses</t>
  </si>
  <si>
    <t>5302 Equipment Purchases</t>
  </si>
  <si>
    <t>5303 Event Expenses</t>
  </si>
  <si>
    <t>5304 Materials &amp; Supplies</t>
  </si>
  <si>
    <t>5306 Meals &amp; Entertainment</t>
  </si>
  <si>
    <t>5307 Soil Testing Expenses</t>
  </si>
  <si>
    <t>Total for 5300 Project Expenses</t>
  </si>
  <si>
    <t>5400 Travel</t>
  </si>
  <si>
    <t>5410 Vehicle &amp; Transportation</t>
  </si>
  <si>
    <t>5420 Rent &amp; Lease</t>
  </si>
  <si>
    <t>5421 Rent - Facility</t>
  </si>
  <si>
    <t>5423 Rent - Vehicle</t>
  </si>
  <si>
    <t>Total for 5420 Rent &amp; Lease</t>
  </si>
  <si>
    <t>5430 Utilities</t>
  </si>
  <si>
    <t>5440 Repairs &amp; Maintenance</t>
  </si>
  <si>
    <t>Reimbursable Expenses</t>
  </si>
  <si>
    <t>Total for Expenditures</t>
  </si>
  <si>
    <t>Other Revenue</t>
  </si>
  <si>
    <t>4420 Mercury Cashback</t>
  </si>
  <si>
    <t>Total for Other Revenue</t>
  </si>
  <si>
    <t>5500 Depreciation Expense</t>
  </si>
  <si>
    <t>Total for Other Expenditures</t>
  </si>
  <si>
    <t>Accrual Basis Tuesday, April 21, 2026 03:40 AM GMTZ</t>
  </si>
  <si>
    <t>Statement of Activity</t>
  </si>
  <si>
    <t>Statement of Financial Position</t>
  </si>
  <si>
    <t>As of Mar 31, 2026</t>
  </si>
  <si>
    <t>Assets</t>
  </si>
  <si>
    <t>Current Assets</t>
  </si>
  <si>
    <t>Bank Accounts</t>
  </si>
  <si>
    <t>1000 Mercury Checking (6371) - 1</t>
  </si>
  <si>
    <t>Total for Bank Accounts</t>
  </si>
  <si>
    <t>Accounts Receivable</t>
  </si>
  <si>
    <t>1200 Accounts Receivable (A/R)</t>
  </si>
  <si>
    <t>Total for Accounts Receivable</t>
  </si>
  <si>
    <t>Other Current Assets</t>
  </si>
  <si>
    <t>1300 Prepaid Expenses</t>
  </si>
  <si>
    <t>Undeposited Funds</t>
  </si>
  <si>
    <t>Total for Other Current Assets</t>
  </si>
  <si>
    <t>Total for Current Assets</t>
  </si>
  <si>
    <t>Fixed Assets</t>
  </si>
  <si>
    <t>1501 Equipment</t>
  </si>
  <si>
    <t>1505 Accumulated Depreciation</t>
  </si>
  <si>
    <t>Total for 1501 Equipment</t>
  </si>
  <si>
    <t>Total for Fixed Assets</t>
  </si>
  <si>
    <t>Other Assets</t>
  </si>
  <si>
    <t>1400 Deposits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</si>
  <si>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</si>
  <si>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</si>
  <si>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</si>
  <si>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</si>
  <si>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</si>
  <si>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</si>
  <si>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2000 Accounts Payable</t>
  </si>
  <si>
    <t>Total for Accounts Payable</t>
  </si>
  <si>
    <t>Credit Cards</t>
  </si>
  <si>
    <t>2010 Mercury Credit - 1</t>
  </si>
  <si>
    <t>Total for Credit Cards</t>
  </si>
  <si>
    <t>Other Current Liabilities</t>
  </si>
  <si>
    <t>2050 Due to</t>
  </si>
  <si>
    <t>Total for Other Current Liabilities</t>
  </si>
  <si>
    <t>Total for Current Liabilities</t>
  </si>
  <si>
    <t>Total for Liabilities</t>
  </si>
  <si>
    <t>Equity</t>
  </si>
  <si>
    <t>Retained Earnings</t>
  </si>
  <si>
    <t>Net Income</t>
  </si>
  <si>
    <t>Total for Equity</t>
  </si>
  <si>
    <t>Total for Liabilities and Equity</t>
  </si>
  <si>
    <t>ABC Organization</t>
  </si>
  <si>
    <t>ABC organization</t>
  </si>
  <si>
    <t>Project Profitability for Best (Grant)'s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</si>
</sst>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€"/>
    <numFmt numFmtId="165" formatCode="&quot;$&quot;* #,##0.00\ _€"/>
    <numFmt numFmtId="166" formatCode="\$#,##0.00"/>
  </numFmts>
  <fonts count="13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1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0" fillId="0" borderId="1" xfId="1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 indent="1"/>
    </xf>
    <xf numFmtId="4" fontId="11" fillId="0" borderId="0" xfId="0" applyNumberFormat="1" applyFont="1" applyAlignment="1">
      <alignment wrapText="1"/>
    </xf>
    <xf numFmtId="0" fontId="11" fillId="0" borderId="0" xfId="0" applyFont="1" applyAlignment="1">
      <alignment horizontal="left" wrapText="1" indent="2"/>
    </xf>
    <xf numFmtId="0" fontId="12" fillId="0" borderId="0" xfId="0" applyFont="1" applyAlignment="1">
      <alignment horizontal="left" wrapText="1" indent="1"/>
    </xf>
    <xf numFmtId="4" fontId="12" fillId="0" borderId="3" xfId="0" applyNumberFormat="1" applyFont="1" applyBorder="1" applyAlignment="1">
      <alignment wrapText="1"/>
    </xf>
    <xf numFmtId="166" fontId="12" fillId="0" borderId="3" xfId="0" applyNumberFormat="1" applyFont="1" applyBorder="1" applyAlignment="1">
      <alignment wrapText="1"/>
    </xf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 wrapText="1" indent="3"/>
    </xf>
    <xf numFmtId="0" fontId="12" fillId="0" borderId="0" xfId="0" applyFont="1" applyAlignment="1">
      <alignment horizontal="left" wrapText="1" indent="2"/>
    </xf>
    <xf numFmtId="0" fontId="11" fillId="0" borderId="0" xfId="0" applyFont="1" applyAlignment="1">
      <alignment horizontal="left" wrapText="1" indent="4"/>
    </xf>
    <xf numFmtId="0" fontId="12" fillId="0" borderId="0" xfId="0" applyFont="1" applyAlignment="1">
      <alignment horizontal="left" wrapText="1" indent="3"/>
    </xf>
  </cellXfs>
  <cellStyles count="2">
    <cellStyle name="HeaderCellStyle" xfId="1" xr:uid="{A8F99B15-C77F-47E5-A18E-376D7420360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I16" sqref="I16"/>
    </sheetView>
  </sheetViews>
  <sheetFormatPr defaultRowHeight="15" x14ac:dyDescent="0.25"/>
  <cols>
    <col min="1" max="2" width="70.42578125" customWidth="1"/>
  </cols>
  <sheetData>
    <row r="1" spans="1:2" ht="18" x14ac:dyDescent="0.25">
      <c r="A1" s="10" t="s">
        <v>175</v>
      </c>
      <c r="B1" s="9"/>
    </row>
    <row r="2" spans="1:2" ht="18" x14ac:dyDescent="0.25">
      <c r="A2" s="10" t="s">
        <v>19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2</v>
      </c>
      <c r="B7" s="4"/>
    </row>
    <row r="8" spans="1:2" x14ac:dyDescent="0.25">
      <c r="A8" s="3" t="s">
        <v>3</v>
      </c>
      <c r="B8" s="5">
        <f>685</f>
        <v>685</v>
      </c>
    </row>
    <row r="9" spans="1:2" x14ac:dyDescent="0.25">
      <c r="A9" s="3" t="s">
        <v>4</v>
      </c>
      <c r="B9" s="6">
        <f>(B7)+(B8)</f>
        <v>685</v>
      </c>
    </row>
    <row r="10" spans="1:2" x14ac:dyDescent="0.25">
      <c r="A10" s="3" t="s">
        <v>5</v>
      </c>
      <c r="B10" s="4"/>
    </row>
    <row r="11" spans="1:2" x14ac:dyDescent="0.25">
      <c r="A11" s="3" t="s">
        <v>6</v>
      </c>
      <c r="B11" s="5">
        <f>2713</f>
        <v>2713</v>
      </c>
    </row>
    <row r="12" spans="1:2" x14ac:dyDescent="0.25">
      <c r="A12" s="3" t="s">
        <v>7</v>
      </c>
      <c r="B12" s="6">
        <f>(B10)+(B11)</f>
        <v>2713</v>
      </c>
    </row>
    <row r="13" spans="1:2" x14ac:dyDescent="0.25">
      <c r="A13" s="3" t="s">
        <v>8</v>
      </c>
      <c r="B13" s="6">
        <f>(B9)+(B12)</f>
        <v>3398</v>
      </c>
    </row>
    <row r="14" spans="1:2" x14ac:dyDescent="0.25">
      <c r="A14" s="3" t="s">
        <v>9</v>
      </c>
      <c r="B14" s="6">
        <f>(B13)-(0)</f>
        <v>3398</v>
      </c>
    </row>
    <row r="15" spans="1:2" x14ac:dyDescent="0.25">
      <c r="A15" s="3" t="s">
        <v>10</v>
      </c>
      <c r="B15" s="4"/>
    </row>
    <row r="16" spans="1:2" x14ac:dyDescent="0.25">
      <c r="A16" s="3" t="s">
        <v>11</v>
      </c>
      <c r="B16" s="4"/>
    </row>
    <row r="17" spans="1:2" x14ac:dyDescent="0.25">
      <c r="A17" s="3" t="s">
        <v>12</v>
      </c>
      <c r="B17" s="5">
        <f>3000</f>
        <v>3000</v>
      </c>
    </row>
    <row r="18" spans="1:2" x14ac:dyDescent="0.25">
      <c r="A18" s="3" t="s">
        <v>13</v>
      </c>
      <c r="B18" s="6">
        <f>(B16)+(B17)</f>
        <v>3000</v>
      </c>
    </row>
    <row r="19" spans="1:2" x14ac:dyDescent="0.25">
      <c r="A19" s="3" t="s">
        <v>14</v>
      </c>
      <c r="B19" s="6">
        <f>B18</f>
        <v>3000</v>
      </c>
    </row>
    <row r="20" spans="1:2" x14ac:dyDescent="0.25">
      <c r="A20" s="3" t="s">
        <v>15</v>
      </c>
      <c r="B20" s="6">
        <f>(B14)-(B19)</f>
        <v>398</v>
      </c>
    </row>
    <row r="21" spans="1:2" x14ac:dyDescent="0.25">
      <c r="A21" s="3" t="s">
        <v>16</v>
      </c>
      <c r="B21" s="7">
        <f>(B20)+(0)</f>
        <v>398</v>
      </c>
    </row>
    <row r="22" spans="1:2" x14ac:dyDescent="0.25">
      <c r="A22" s="3"/>
      <c r="B22" s="4"/>
    </row>
    <row r="25" spans="1:2" x14ac:dyDescent="0.25">
      <c r="A25" s="8" t="s">
        <v>17</v>
      </c>
      <c r="B25" s="9"/>
    </row>
  </sheetData>
  <mergeCells count="4">
    <mergeCell ref="A25:B25"/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3FA6-0ABA-4F2E-A590-8A8340062B9E}">
  <dimension ref="A1:B19"/>
  <sheetViews>
    <sheetView workbookViewId="0">
      <selection activeCell="B22" sqref="B22"/>
    </sheetView>
  </sheetViews>
  <sheetFormatPr defaultRowHeight="15" x14ac:dyDescent="0.25"/>
  <cols>
    <col min="1" max="2" width="66.140625" customWidth="1"/>
  </cols>
  <sheetData>
    <row r="1" spans="1:2" ht="18" x14ac:dyDescent="0.25">
      <c r="A1" s="10" t="s">
        <v>175</v>
      </c>
      <c r="B1" s="9"/>
    </row>
    <row r="2" spans="1:2" ht="18" x14ac:dyDescent="0.25">
      <c r="A2" s="10" t="s">
        <v>21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8</v>
      </c>
      <c r="B7" s="4"/>
    </row>
    <row r="8" spans="1:2" x14ac:dyDescent="0.25">
      <c r="A8" s="3" t="s">
        <v>9</v>
      </c>
      <c r="B8" s="7">
        <f>(B7)-(0)</f>
        <v>0</v>
      </c>
    </row>
    <row r="9" spans="1:2" x14ac:dyDescent="0.25">
      <c r="A9" s="3" t="s">
        <v>10</v>
      </c>
      <c r="B9" s="4"/>
    </row>
    <row r="10" spans="1:2" x14ac:dyDescent="0.25">
      <c r="A10" s="3" t="s">
        <v>22</v>
      </c>
      <c r="B10" s="4"/>
    </row>
    <row r="11" spans="1:2" x14ac:dyDescent="0.25">
      <c r="A11" s="3" t="s">
        <v>23</v>
      </c>
      <c r="B11" s="5">
        <f>716.02</f>
        <v>716.02</v>
      </c>
    </row>
    <row r="12" spans="1:2" x14ac:dyDescent="0.25">
      <c r="A12" s="3" t="s">
        <v>24</v>
      </c>
      <c r="B12" s="7">
        <f>(B10)+(B11)</f>
        <v>716.02</v>
      </c>
    </row>
    <row r="13" spans="1:2" x14ac:dyDescent="0.25">
      <c r="A13" s="3" t="s">
        <v>14</v>
      </c>
      <c r="B13" s="7">
        <f>B12</f>
        <v>716.02</v>
      </c>
    </row>
    <row r="14" spans="1:2" x14ac:dyDescent="0.25">
      <c r="A14" s="3" t="s">
        <v>15</v>
      </c>
      <c r="B14" s="7">
        <f>(B8)-(B13)</f>
        <v>-716.02</v>
      </c>
    </row>
    <row r="15" spans="1:2" x14ac:dyDescent="0.25">
      <c r="A15" s="3" t="s">
        <v>16</v>
      </c>
      <c r="B15" s="7">
        <f>(B14)+(0)</f>
        <v>-716.02</v>
      </c>
    </row>
    <row r="16" spans="1:2" x14ac:dyDescent="0.25">
      <c r="A16" s="3"/>
      <c r="B16" s="4"/>
    </row>
    <row r="19" spans="1:2" x14ac:dyDescent="0.25">
      <c r="A19" s="8" t="s">
        <v>25</v>
      </c>
      <c r="B19" s="9"/>
    </row>
  </sheetData>
  <mergeCells count="4">
    <mergeCell ref="A1:B1"/>
    <mergeCell ref="A2:B2"/>
    <mergeCell ref="A3:B3"/>
    <mergeCell ref="A19:B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0242-C0D5-4181-95C5-37E592DDAC3C}">
  <dimension ref="A1:B22"/>
  <sheetViews>
    <sheetView workbookViewId="0">
      <selection activeCell="A2" sqref="A2:B2"/>
    </sheetView>
  </sheetViews>
  <sheetFormatPr defaultRowHeight="15" x14ac:dyDescent="0.25"/>
  <cols>
    <col min="1" max="2" width="86.85546875" customWidth="1"/>
  </cols>
  <sheetData>
    <row r="1" spans="1:2" ht="18" x14ac:dyDescent="0.25">
      <c r="A1" s="10" t="s">
        <v>175</v>
      </c>
      <c r="B1" s="9"/>
    </row>
    <row r="2" spans="1:2" ht="18" x14ac:dyDescent="0.25">
      <c r="A2" s="10" t="s">
        <v>26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2</v>
      </c>
      <c r="B7" s="4"/>
    </row>
    <row r="8" spans="1:2" x14ac:dyDescent="0.25">
      <c r="A8" s="3" t="s">
        <v>3</v>
      </c>
      <c r="B8" s="5">
        <f>15</f>
        <v>15</v>
      </c>
    </row>
    <row r="9" spans="1:2" x14ac:dyDescent="0.25">
      <c r="A9" s="3" t="s">
        <v>4</v>
      </c>
      <c r="B9" s="7">
        <f>(B7)+(B8)</f>
        <v>15</v>
      </c>
    </row>
    <row r="10" spans="1:2" x14ac:dyDescent="0.25">
      <c r="A10" s="3" t="s">
        <v>5</v>
      </c>
      <c r="B10" s="4"/>
    </row>
    <row r="11" spans="1:2" x14ac:dyDescent="0.25">
      <c r="A11" s="3" t="s">
        <v>6</v>
      </c>
      <c r="B11" s="5">
        <f>40</f>
        <v>40</v>
      </c>
    </row>
    <row r="12" spans="1:2" x14ac:dyDescent="0.25">
      <c r="A12" s="3" t="s">
        <v>7</v>
      </c>
      <c r="B12" s="7">
        <f>(B10)+(B11)</f>
        <v>40</v>
      </c>
    </row>
    <row r="13" spans="1:2" x14ac:dyDescent="0.25">
      <c r="A13" s="3" t="s">
        <v>8</v>
      </c>
      <c r="B13" s="7">
        <f>(B9)+(B12)</f>
        <v>55</v>
      </c>
    </row>
    <row r="14" spans="1:2" x14ac:dyDescent="0.25">
      <c r="A14" s="3" t="s">
        <v>9</v>
      </c>
      <c r="B14" s="7">
        <f>(B13)-(0)</f>
        <v>55</v>
      </c>
    </row>
    <row r="15" spans="1:2" x14ac:dyDescent="0.25">
      <c r="A15" s="3" t="s">
        <v>10</v>
      </c>
      <c r="B15" s="4"/>
    </row>
    <row r="16" spans="1:2" x14ac:dyDescent="0.25">
      <c r="A16" s="3" t="s">
        <v>14</v>
      </c>
      <c r="B16" s="4"/>
    </row>
    <row r="17" spans="1:2" x14ac:dyDescent="0.25">
      <c r="A17" s="3" t="s">
        <v>15</v>
      </c>
      <c r="B17" s="7">
        <f>(B14)-(B16)</f>
        <v>55</v>
      </c>
    </row>
    <row r="18" spans="1:2" x14ac:dyDescent="0.25">
      <c r="A18" s="3" t="s">
        <v>16</v>
      </c>
      <c r="B18" s="7">
        <f>(B17)+(0)</f>
        <v>55</v>
      </c>
    </row>
    <row r="19" spans="1:2" x14ac:dyDescent="0.25">
      <c r="A19" s="3"/>
      <c r="B19" s="4"/>
    </row>
    <row r="22" spans="1:2" x14ac:dyDescent="0.25">
      <c r="A22" s="8" t="s">
        <v>27</v>
      </c>
      <c r="B22" s="9"/>
    </row>
  </sheetData>
  <mergeCells count="4">
    <mergeCell ref="A1:B1"/>
    <mergeCell ref="A2:B2"/>
    <mergeCell ref="A3:B3"/>
    <mergeCell ref="A22:B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310B-F714-4ACE-B627-543527B64AB0}">
  <dimension ref="A1:B25"/>
  <sheetViews>
    <sheetView workbookViewId="0">
      <selection activeCell="A2" sqref="A2:B2"/>
    </sheetView>
  </sheetViews>
  <sheetFormatPr defaultRowHeight="15" x14ac:dyDescent="0.25"/>
  <cols>
    <col min="1" max="2" width="73.85546875" customWidth="1"/>
  </cols>
  <sheetData>
    <row r="1" spans="1:2" ht="18" x14ac:dyDescent="0.25">
      <c r="A1" s="10" t="s">
        <v>175</v>
      </c>
      <c r="B1" s="9"/>
    </row>
    <row r="2" spans="1:2" ht="18" x14ac:dyDescent="0.25">
      <c r="A2" s="10" t="s">
        <v>28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2</v>
      </c>
      <c r="B7" s="4"/>
    </row>
    <row r="8" spans="1:2" x14ac:dyDescent="0.25">
      <c r="A8" s="3" t="s">
        <v>3</v>
      </c>
      <c r="B8" s="5">
        <f>115</f>
        <v>115</v>
      </c>
    </row>
    <row r="9" spans="1:2" x14ac:dyDescent="0.25">
      <c r="A9" s="3" t="s">
        <v>4</v>
      </c>
      <c r="B9" s="7">
        <f>(B7)+(B8)</f>
        <v>115</v>
      </c>
    </row>
    <row r="10" spans="1:2" x14ac:dyDescent="0.25">
      <c r="A10" s="3" t="s">
        <v>5</v>
      </c>
      <c r="B10" s="4"/>
    </row>
    <row r="11" spans="1:2" x14ac:dyDescent="0.25">
      <c r="A11" s="3" t="s">
        <v>6</v>
      </c>
      <c r="B11" s="5">
        <f>1150</f>
        <v>1150</v>
      </c>
    </row>
    <row r="12" spans="1:2" x14ac:dyDescent="0.25">
      <c r="A12" s="3" t="s">
        <v>7</v>
      </c>
      <c r="B12" s="7">
        <f>(B10)+(B11)</f>
        <v>1150</v>
      </c>
    </row>
    <row r="13" spans="1:2" x14ac:dyDescent="0.25">
      <c r="A13" s="3" t="s">
        <v>8</v>
      </c>
      <c r="B13" s="7">
        <f>(B9)+(B12)</f>
        <v>1265</v>
      </c>
    </row>
    <row r="14" spans="1:2" x14ac:dyDescent="0.25">
      <c r="A14" s="3" t="s">
        <v>9</v>
      </c>
      <c r="B14" s="7">
        <f>(B13)-(0)</f>
        <v>1265</v>
      </c>
    </row>
    <row r="15" spans="1:2" x14ac:dyDescent="0.25">
      <c r="A15" s="3" t="s">
        <v>10</v>
      </c>
      <c r="B15" s="4"/>
    </row>
    <row r="16" spans="1:2" x14ac:dyDescent="0.25">
      <c r="A16" s="3" t="s">
        <v>29</v>
      </c>
      <c r="B16" s="4"/>
    </row>
    <row r="17" spans="1:2" x14ac:dyDescent="0.25">
      <c r="A17" s="3" t="s">
        <v>30</v>
      </c>
      <c r="B17" s="5">
        <f>1265</f>
        <v>1265</v>
      </c>
    </row>
    <row r="18" spans="1:2" x14ac:dyDescent="0.25">
      <c r="A18" s="3" t="s">
        <v>31</v>
      </c>
      <c r="B18" s="7">
        <f>(B16)+(B17)</f>
        <v>1265</v>
      </c>
    </row>
    <row r="19" spans="1:2" x14ac:dyDescent="0.25">
      <c r="A19" s="3" t="s">
        <v>14</v>
      </c>
      <c r="B19" s="7">
        <f>B18</f>
        <v>1265</v>
      </c>
    </row>
    <row r="20" spans="1:2" x14ac:dyDescent="0.25">
      <c r="A20" s="3" t="s">
        <v>15</v>
      </c>
      <c r="B20" s="7">
        <f>(B14)-(B19)</f>
        <v>0</v>
      </c>
    </row>
    <row r="21" spans="1:2" x14ac:dyDescent="0.25">
      <c r="A21" s="3" t="s">
        <v>16</v>
      </c>
      <c r="B21" s="7">
        <f>(B20)+(0)</f>
        <v>0</v>
      </c>
    </row>
    <row r="22" spans="1:2" x14ac:dyDescent="0.25">
      <c r="A22" s="3"/>
      <c r="B22" s="4"/>
    </row>
    <row r="25" spans="1:2" x14ac:dyDescent="0.25">
      <c r="A25" s="8" t="s">
        <v>32</v>
      </c>
      <c r="B25" s="9"/>
    </row>
  </sheetData>
  <mergeCells count="4">
    <mergeCell ref="A1:B1"/>
    <mergeCell ref="A2:B2"/>
    <mergeCell ref="A3:B3"/>
    <mergeCell ref="A25:B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FB30-F6BD-4408-B20D-03BBAE9B8FA4}">
  <dimension ref="A1:B22"/>
  <sheetViews>
    <sheetView workbookViewId="0">
      <selection activeCell="A2" sqref="A2:B2"/>
    </sheetView>
  </sheetViews>
  <sheetFormatPr defaultRowHeight="15" x14ac:dyDescent="0.25"/>
  <cols>
    <col min="1" max="2" width="73.85546875" customWidth="1"/>
  </cols>
  <sheetData>
    <row r="1" spans="1:2" ht="18" x14ac:dyDescent="0.25">
      <c r="A1" s="10" t="s">
        <v>175</v>
      </c>
      <c r="B1" s="9"/>
    </row>
    <row r="2" spans="1:2" ht="18" x14ac:dyDescent="0.25">
      <c r="A2" s="10" t="s">
        <v>33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5</v>
      </c>
      <c r="B7" s="4"/>
    </row>
    <row r="8" spans="1:2" x14ac:dyDescent="0.25">
      <c r="A8" s="3" t="s">
        <v>34</v>
      </c>
      <c r="B8" s="5">
        <f>20000</f>
        <v>20000</v>
      </c>
    </row>
    <row r="9" spans="1:2" x14ac:dyDescent="0.25">
      <c r="A9" s="3" t="s">
        <v>7</v>
      </c>
      <c r="B9" s="7">
        <f>(B7)+(B8)</f>
        <v>20000</v>
      </c>
    </row>
    <row r="10" spans="1:2" x14ac:dyDescent="0.25">
      <c r="A10" s="3" t="s">
        <v>8</v>
      </c>
      <c r="B10" s="7">
        <f>B9</f>
        <v>20000</v>
      </c>
    </row>
    <row r="11" spans="1:2" x14ac:dyDescent="0.25">
      <c r="A11" s="3" t="s">
        <v>9</v>
      </c>
      <c r="B11" s="7">
        <f>(B10)-(0)</f>
        <v>20000</v>
      </c>
    </row>
    <row r="12" spans="1:2" x14ac:dyDescent="0.25">
      <c r="A12" s="3" t="s">
        <v>10</v>
      </c>
      <c r="B12" s="4"/>
    </row>
    <row r="13" spans="1:2" x14ac:dyDescent="0.25">
      <c r="A13" s="3" t="s">
        <v>11</v>
      </c>
      <c r="B13" s="4"/>
    </row>
    <row r="14" spans="1:2" x14ac:dyDescent="0.25">
      <c r="A14" s="3" t="s">
        <v>35</v>
      </c>
      <c r="B14" s="5">
        <f>6280</f>
        <v>6280</v>
      </c>
    </row>
    <row r="15" spans="1:2" x14ac:dyDescent="0.25">
      <c r="A15" s="3" t="s">
        <v>13</v>
      </c>
      <c r="B15" s="7">
        <f>(B13)+(B14)</f>
        <v>6280</v>
      </c>
    </row>
    <row r="16" spans="1:2" x14ac:dyDescent="0.25">
      <c r="A16" s="3" t="s">
        <v>14</v>
      </c>
      <c r="B16" s="7">
        <f>B15</f>
        <v>6280</v>
      </c>
    </row>
    <row r="17" spans="1:2" x14ac:dyDescent="0.25">
      <c r="A17" s="3" t="s">
        <v>15</v>
      </c>
      <c r="B17" s="7">
        <f>(B11)-(B16)</f>
        <v>13720</v>
      </c>
    </row>
    <row r="18" spans="1:2" x14ac:dyDescent="0.25">
      <c r="A18" s="3" t="s">
        <v>16</v>
      </c>
      <c r="B18" s="7">
        <f>(B17)+(0)</f>
        <v>13720</v>
      </c>
    </row>
    <row r="19" spans="1:2" x14ac:dyDescent="0.25">
      <c r="A19" s="3"/>
      <c r="B19" s="4"/>
    </row>
    <row r="22" spans="1:2" x14ac:dyDescent="0.25">
      <c r="A22" s="8" t="s">
        <v>36</v>
      </c>
      <c r="B22" s="9"/>
    </row>
  </sheetData>
  <mergeCells count="4">
    <mergeCell ref="A1:B1"/>
    <mergeCell ref="A2:B2"/>
    <mergeCell ref="A3:B3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B8CE-F2CD-4F0D-A5E9-9A0FFE27BDEE}">
  <dimension ref="A1:B47"/>
  <sheetViews>
    <sheetView workbookViewId="0">
      <selection activeCell="G19" sqref="G19"/>
    </sheetView>
  </sheetViews>
  <sheetFormatPr defaultRowHeight="15" x14ac:dyDescent="0.25"/>
  <cols>
    <col min="1" max="2" width="44.7109375" customWidth="1"/>
  </cols>
  <sheetData>
    <row r="1" spans="1:2" ht="18" x14ac:dyDescent="0.25">
      <c r="A1" s="10" t="s">
        <v>18</v>
      </c>
      <c r="B1" s="9"/>
    </row>
    <row r="2" spans="1:2" ht="18" x14ac:dyDescent="0.25">
      <c r="A2" s="10" t="s">
        <v>177</v>
      </c>
      <c r="B2" s="9"/>
    </row>
    <row r="3" spans="1:2" x14ac:dyDescent="0.25">
      <c r="A3" s="11" t="s">
        <v>20</v>
      </c>
      <c r="B3" s="9"/>
    </row>
    <row r="5" spans="1:2" x14ac:dyDescent="0.25">
      <c r="A5" s="1"/>
      <c r="B5" s="2" t="s">
        <v>0</v>
      </c>
    </row>
    <row r="6" spans="1:2" x14ac:dyDescent="0.25">
      <c r="A6" s="3" t="s">
        <v>1</v>
      </c>
      <c r="B6" s="4"/>
    </row>
    <row r="7" spans="1:2" x14ac:dyDescent="0.25">
      <c r="A7" s="3" t="s">
        <v>2</v>
      </c>
      <c r="B7" s="4"/>
    </row>
    <row r="8" spans="1:2" x14ac:dyDescent="0.25">
      <c r="A8" s="3" t="s">
        <v>37</v>
      </c>
      <c r="B8" s="5">
        <f>609862.02</f>
        <v>609862.02</v>
      </c>
    </row>
    <row r="9" spans="1:2" x14ac:dyDescent="0.25">
      <c r="A9" s="3" t="s">
        <v>4</v>
      </c>
      <c r="B9" s="7">
        <f>(B7)+(B8)</f>
        <v>609862.02</v>
      </c>
    </row>
    <row r="10" spans="1:2" x14ac:dyDescent="0.25">
      <c r="A10" s="3" t="s">
        <v>8</v>
      </c>
      <c r="B10" s="7">
        <f>B9</f>
        <v>609862.02</v>
      </c>
    </row>
    <row r="11" spans="1:2" x14ac:dyDescent="0.25">
      <c r="A11" s="3" t="s">
        <v>9</v>
      </c>
      <c r="B11" s="7">
        <f>(B10)-(0)</f>
        <v>609862.02</v>
      </c>
    </row>
    <row r="12" spans="1:2" x14ac:dyDescent="0.25">
      <c r="A12" s="3" t="s">
        <v>10</v>
      </c>
      <c r="B12" s="4"/>
    </row>
    <row r="13" spans="1:2" x14ac:dyDescent="0.25">
      <c r="A13" s="3" t="s">
        <v>38</v>
      </c>
      <c r="B13" s="4"/>
    </row>
    <row r="14" spans="1:2" x14ac:dyDescent="0.25">
      <c r="A14" s="3" t="s">
        <v>39</v>
      </c>
      <c r="B14" s="5">
        <f>2001.63</f>
        <v>2001.63</v>
      </c>
    </row>
    <row r="15" spans="1:2" x14ac:dyDescent="0.25">
      <c r="A15" s="3" t="s">
        <v>40</v>
      </c>
      <c r="B15" s="7">
        <f>(B13)+(B14)</f>
        <v>2001.63</v>
      </c>
    </row>
    <row r="16" spans="1:2" x14ac:dyDescent="0.25">
      <c r="A16" s="3" t="s">
        <v>11</v>
      </c>
      <c r="B16" s="4"/>
    </row>
    <row r="17" spans="1:2" x14ac:dyDescent="0.25">
      <c r="A17" s="3" t="s">
        <v>41</v>
      </c>
      <c r="B17" s="5">
        <f>3034.1</f>
        <v>3034.1</v>
      </c>
    </row>
    <row r="18" spans="1:2" x14ac:dyDescent="0.25">
      <c r="A18" s="3" t="s">
        <v>13</v>
      </c>
      <c r="B18" s="7">
        <f>(B16)+(B17)</f>
        <v>3034.1</v>
      </c>
    </row>
    <row r="19" spans="1:2" x14ac:dyDescent="0.25">
      <c r="A19" s="3" t="s">
        <v>22</v>
      </c>
      <c r="B19" s="4"/>
    </row>
    <row r="20" spans="1:2" x14ac:dyDescent="0.25">
      <c r="A20" s="3" t="s">
        <v>23</v>
      </c>
      <c r="B20" s="5">
        <f>20.3</f>
        <v>20.3</v>
      </c>
    </row>
    <row r="21" spans="1:2" x14ac:dyDescent="0.25">
      <c r="A21" s="3" t="s">
        <v>42</v>
      </c>
      <c r="B21" s="5">
        <f>8736.77</f>
        <v>8736.77</v>
      </c>
    </row>
    <row r="22" spans="1:2" x14ac:dyDescent="0.25">
      <c r="A22" s="3" t="s">
        <v>43</v>
      </c>
      <c r="B22" s="5">
        <f>45</f>
        <v>45</v>
      </c>
    </row>
    <row r="23" spans="1:2" x14ac:dyDescent="0.25">
      <c r="A23" s="3" t="s">
        <v>44</v>
      </c>
      <c r="B23" s="5">
        <f>53.36</f>
        <v>53.36</v>
      </c>
    </row>
    <row r="24" spans="1:2" x14ac:dyDescent="0.25">
      <c r="A24" s="3" t="s">
        <v>45</v>
      </c>
      <c r="B24" s="5">
        <f>39.99</f>
        <v>39.99</v>
      </c>
    </row>
    <row r="25" spans="1:2" x14ac:dyDescent="0.25">
      <c r="A25" s="3" t="s">
        <v>24</v>
      </c>
      <c r="B25" s="7">
        <f>(((((B19)+(B20))+(B21))+(B22))+(B23))+(B24)</f>
        <v>8895.42</v>
      </c>
    </row>
    <row r="26" spans="1:2" x14ac:dyDescent="0.25">
      <c r="A26" s="3" t="s">
        <v>29</v>
      </c>
      <c r="B26" s="4"/>
    </row>
    <row r="27" spans="1:2" x14ac:dyDescent="0.25">
      <c r="A27" s="3" t="s">
        <v>46</v>
      </c>
      <c r="B27" s="5">
        <f>3905.92</f>
        <v>3905.92</v>
      </c>
    </row>
    <row r="28" spans="1:2" x14ac:dyDescent="0.25">
      <c r="A28" s="3" t="s">
        <v>47</v>
      </c>
      <c r="B28" s="5">
        <f>13078.91</f>
        <v>13078.91</v>
      </c>
    </row>
    <row r="29" spans="1:2" x14ac:dyDescent="0.25">
      <c r="A29" s="3" t="s">
        <v>31</v>
      </c>
      <c r="B29" s="7">
        <f>((B26)+(B27))+(B28)</f>
        <v>16984.830000000002</v>
      </c>
    </row>
    <row r="30" spans="1:2" x14ac:dyDescent="0.25">
      <c r="A30" s="3" t="s">
        <v>48</v>
      </c>
      <c r="B30" s="5">
        <f>72.55</f>
        <v>72.55</v>
      </c>
    </row>
    <row r="31" spans="1:2" x14ac:dyDescent="0.25">
      <c r="A31" s="3" t="s">
        <v>49</v>
      </c>
      <c r="B31" s="4"/>
    </row>
    <row r="32" spans="1:2" x14ac:dyDescent="0.25">
      <c r="A32" s="3" t="s">
        <v>50</v>
      </c>
      <c r="B32" s="5">
        <f>9146.06</f>
        <v>9146.06</v>
      </c>
    </row>
    <row r="33" spans="1:2" x14ac:dyDescent="0.25">
      <c r="A33" s="3" t="s">
        <v>51</v>
      </c>
      <c r="B33" s="5">
        <f>513.19</f>
        <v>513.19000000000005</v>
      </c>
    </row>
    <row r="34" spans="1:2" x14ac:dyDescent="0.25">
      <c r="A34" s="3" t="s">
        <v>52</v>
      </c>
      <c r="B34" s="7">
        <f>((B31)+(B32))+(B33)</f>
        <v>9659.25</v>
      </c>
    </row>
    <row r="35" spans="1:2" x14ac:dyDescent="0.25">
      <c r="A35" s="3" t="s">
        <v>53</v>
      </c>
      <c r="B35" s="5">
        <f>150</f>
        <v>150</v>
      </c>
    </row>
    <row r="36" spans="1:2" x14ac:dyDescent="0.25">
      <c r="A36" s="3" t="s">
        <v>54</v>
      </c>
      <c r="B36" s="5">
        <f>152</f>
        <v>152</v>
      </c>
    </row>
    <row r="37" spans="1:2" x14ac:dyDescent="0.25">
      <c r="A37" s="3" t="s">
        <v>14</v>
      </c>
      <c r="B37" s="7">
        <f>(((((((B15)+(B18))+(B25))+(B29))+(B30))+(B34))+(B35))+(B36)</f>
        <v>40949.78</v>
      </c>
    </row>
    <row r="38" spans="1:2" x14ac:dyDescent="0.25">
      <c r="A38" s="3" t="s">
        <v>15</v>
      </c>
      <c r="B38" s="7">
        <f>(B11)-(B37)</f>
        <v>568912.24</v>
      </c>
    </row>
    <row r="39" spans="1:2" x14ac:dyDescent="0.25">
      <c r="A39" s="3" t="s">
        <v>55</v>
      </c>
      <c r="B39" s="4"/>
    </row>
    <row r="40" spans="1:2" x14ac:dyDescent="0.25">
      <c r="A40" s="3" t="s">
        <v>56</v>
      </c>
      <c r="B40" s="5">
        <f>1303.29</f>
        <v>1303.29</v>
      </c>
    </row>
    <row r="41" spans="1:2" x14ac:dyDescent="0.25">
      <c r="A41" s="3" t="s">
        <v>57</v>
      </c>
      <c r="B41" s="7">
        <f>B40</f>
        <v>1303.29</v>
      </c>
    </row>
    <row r="42" spans="1:2" x14ac:dyDescent="0.25">
      <c r="A42" s="3" t="s">
        <v>58</v>
      </c>
      <c r="B42" s="7">
        <f>(0)-(B41)</f>
        <v>-1303.29</v>
      </c>
    </row>
    <row r="43" spans="1:2" x14ac:dyDescent="0.25">
      <c r="A43" s="3" t="s">
        <v>16</v>
      </c>
      <c r="B43" s="7">
        <f>(B38)+(B42)</f>
        <v>567608.94999999995</v>
      </c>
    </row>
    <row r="44" spans="1:2" x14ac:dyDescent="0.25">
      <c r="A44" s="3"/>
      <c r="B44" s="4"/>
    </row>
    <row r="47" spans="1:2" x14ac:dyDescent="0.25">
      <c r="A47" s="8" t="s">
        <v>59</v>
      </c>
      <c r="B47" s="9"/>
    </row>
  </sheetData>
  <mergeCells count="4">
    <mergeCell ref="A1:B1"/>
    <mergeCell ref="A2:B2"/>
    <mergeCell ref="A3:B3"/>
    <mergeCell ref="A47:B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BD5E-EB30-4DC5-A78B-13091171D6D9}">
  <dimension ref="A1:K74"/>
  <sheetViews>
    <sheetView workbookViewId="0">
      <selection activeCell="E18" sqref="E18"/>
    </sheetView>
  </sheetViews>
  <sheetFormatPr defaultColWidth="12.85546875" defaultRowHeight="15" x14ac:dyDescent="0.25"/>
  <cols>
    <col min="1" max="1" width="42" style="1" customWidth="1"/>
    <col min="2" max="2" width="12.5703125" style="1" customWidth="1"/>
    <col min="3" max="3" width="37" style="1" customWidth="1"/>
    <col min="4" max="4" width="34.140625" style="1" customWidth="1"/>
    <col min="5" max="5" width="35.140625" style="1" customWidth="1"/>
    <col min="6" max="6" width="22.28515625" style="1" customWidth="1"/>
    <col min="7" max="7" width="24.28515625" style="1" customWidth="1"/>
    <col min="8" max="8" width="19.42578125" style="1" customWidth="1"/>
    <col min="9" max="9" width="28.28515625" style="1" customWidth="1"/>
    <col min="10" max="10" width="13.42578125" style="1" customWidth="1"/>
    <col min="11" max="11" width="18.42578125" style="1" customWidth="1"/>
  </cols>
  <sheetData>
    <row r="1" spans="1:11" x14ac:dyDescent="0.25">
      <c r="A1" s="12" t="s">
        <v>60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4" t="s">
        <v>176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15" t="s">
        <v>61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1" x14ac:dyDescent="0.25">
      <c r="A5" s="16" t="s">
        <v>62</v>
      </c>
      <c r="B5" s="16" t="s">
        <v>63</v>
      </c>
      <c r="C5" s="16" t="s">
        <v>64</v>
      </c>
      <c r="D5" s="16" t="s">
        <v>65</v>
      </c>
      <c r="E5" s="16" t="s">
        <v>66</v>
      </c>
      <c r="F5" s="16" t="s">
        <v>67</v>
      </c>
      <c r="G5" s="16" t="s">
        <v>68</v>
      </c>
      <c r="H5" s="16" t="s">
        <v>69</v>
      </c>
      <c r="I5" s="16" t="s">
        <v>70</v>
      </c>
      <c r="J5" s="16" t="s">
        <v>71</v>
      </c>
      <c r="K5" s="16" t="s">
        <v>0</v>
      </c>
    </row>
    <row r="6" spans="1:11" x14ac:dyDescent="0.25">
      <c r="A6" s="17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1" x14ac:dyDescent="0.25">
      <c r="A7" s="19" t="s">
        <v>72</v>
      </c>
      <c r="B7" s="18"/>
      <c r="C7" s="18"/>
      <c r="D7" s="20">
        <v>0</v>
      </c>
      <c r="E7" s="18"/>
      <c r="F7" s="20">
        <f>E7+D7+C7+B7</f>
        <v>0</v>
      </c>
      <c r="G7" s="18"/>
      <c r="H7" s="18"/>
      <c r="I7" s="18"/>
      <c r="J7" s="18"/>
      <c r="K7" s="20">
        <f t="shared" ref="K7:K16" si="0">F7+G7+H7+I7+J7</f>
        <v>0</v>
      </c>
    </row>
    <row r="8" spans="1:11" x14ac:dyDescent="0.25">
      <c r="A8" s="21" t="s">
        <v>73</v>
      </c>
      <c r="B8" s="18"/>
      <c r="C8" s="18"/>
      <c r="D8" s="20">
        <v>815</v>
      </c>
      <c r="E8" s="18"/>
      <c r="F8" s="20">
        <f>E8+D8+C8+B8</f>
        <v>815</v>
      </c>
      <c r="G8" s="20">
        <v>3455</v>
      </c>
      <c r="H8" s="18"/>
      <c r="I8" s="18"/>
      <c r="J8" s="18"/>
      <c r="K8" s="20">
        <f t="shared" si="0"/>
        <v>4270</v>
      </c>
    </row>
    <row r="9" spans="1:11" x14ac:dyDescent="0.25">
      <c r="A9" s="21" t="s">
        <v>74</v>
      </c>
      <c r="B9" s="18"/>
      <c r="C9" s="20">
        <v>609862.02</v>
      </c>
      <c r="D9" s="18"/>
      <c r="E9" s="18"/>
      <c r="F9" s="20">
        <f>E9+D9+C9+B9</f>
        <v>609862.02</v>
      </c>
      <c r="G9" s="18"/>
      <c r="H9" s="18"/>
      <c r="I9" s="18"/>
      <c r="J9" s="18"/>
      <c r="K9" s="20">
        <f t="shared" si="0"/>
        <v>609862.02</v>
      </c>
    </row>
    <row r="10" spans="1:11" x14ac:dyDescent="0.25">
      <c r="A10" s="22" t="s">
        <v>75</v>
      </c>
      <c r="B10" s="23"/>
      <c r="C10" s="23">
        <f>C7+C8+C9</f>
        <v>609862.02</v>
      </c>
      <c r="D10" s="23">
        <f>D7+D8+D9</f>
        <v>815</v>
      </c>
      <c r="E10" s="23"/>
      <c r="F10" s="23">
        <f>E10+D10+C10+B10</f>
        <v>610677.02</v>
      </c>
      <c r="G10" s="23">
        <f>G7+G8+G9</f>
        <v>3455</v>
      </c>
      <c r="H10" s="23"/>
      <c r="I10" s="23"/>
      <c r="J10" s="23"/>
      <c r="K10" s="24">
        <f t="shared" si="0"/>
        <v>614132.02</v>
      </c>
    </row>
    <row r="11" spans="1:11" x14ac:dyDescent="0.25">
      <c r="A11" s="19" t="s">
        <v>76</v>
      </c>
      <c r="B11" s="18"/>
      <c r="C11" s="18"/>
      <c r="D11" s="18"/>
      <c r="E11" s="18"/>
      <c r="F11" s="18"/>
      <c r="G11" s="18"/>
      <c r="H11" s="18"/>
      <c r="I11" s="20">
        <v>20000</v>
      </c>
      <c r="J11" s="20">
        <v>-20000</v>
      </c>
      <c r="K11" s="20">
        <f t="shared" si="0"/>
        <v>0</v>
      </c>
    </row>
    <row r="12" spans="1:11" x14ac:dyDescent="0.25">
      <c r="A12" s="21" t="s">
        <v>77</v>
      </c>
      <c r="B12" s="18"/>
      <c r="C12" s="18"/>
      <c r="D12" s="20">
        <v>3903</v>
      </c>
      <c r="E12" s="18"/>
      <c r="F12" s="20">
        <f>E12+D12+C12+B12</f>
        <v>3903</v>
      </c>
      <c r="G12" s="18"/>
      <c r="H12" s="18"/>
      <c r="I12" s="18"/>
      <c r="J12" s="18"/>
      <c r="K12" s="20">
        <f t="shared" si="0"/>
        <v>3903</v>
      </c>
    </row>
    <row r="13" spans="1:11" x14ac:dyDescent="0.25">
      <c r="A13" s="21" t="s">
        <v>78</v>
      </c>
      <c r="B13" s="18"/>
      <c r="C13" s="18"/>
      <c r="D13" s="18"/>
      <c r="E13" s="20">
        <v>11334.05</v>
      </c>
      <c r="F13" s="20">
        <f>E13+D13+C13+B13</f>
        <v>11334.05</v>
      </c>
      <c r="G13" s="18"/>
      <c r="H13" s="18"/>
      <c r="I13" s="18"/>
      <c r="J13" s="18"/>
      <c r="K13" s="20">
        <f t="shared" si="0"/>
        <v>11334.05</v>
      </c>
    </row>
    <row r="14" spans="1:11" x14ac:dyDescent="0.25">
      <c r="A14" s="21" t="s">
        <v>79</v>
      </c>
      <c r="B14" s="18"/>
      <c r="C14" s="20">
        <v>20000</v>
      </c>
      <c r="D14" s="18"/>
      <c r="E14" s="18"/>
      <c r="F14" s="20">
        <f>E14+D14+C14+B14</f>
        <v>20000</v>
      </c>
      <c r="G14" s="18"/>
      <c r="H14" s="18"/>
      <c r="I14" s="18"/>
      <c r="J14" s="18"/>
      <c r="K14" s="20">
        <f t="shared" si="0"/>
        <v>20000</v>
      </c>
    </row>
    <row r="15" spans="1:11" x14ac:dyDescent="0.25">
      <c r="A15" s="22" t="s">
        <v>80</v>
      </c>
      <c r="B15" s="23"/>
      <c r="C15" s="23">
        <f>C11+C12+C13+C14</f>
        <v>20000</v>
      </c>
      <c r="D15" s="23">
        <f>D11+D12+D13+D14</f>
        <v>3903</v>
      </c>
      <c r="E15" s="23">
        <f>E11+E12+E13+E14</f>
        <v>11334.05</v>
      </c>
      <c r="F15" s="23">
        <f>E15+D15+C15+B15</f>
        <v>35237.050000000003</v>
      </c>
      <c r="G15" s="23"/>
      <c r="H15" s="23"/>
      <c r="I15" s="23">
        <f>I11+I12+I13+I14</f>
        <v>20000</v>
      </c>
      <c r="J15" s="23">
        <f>J11+J12+J13+J14</f>
        <v>-20000</v>
      </c>
      <c r="K15" s="24">
        <f t="shared" si="0"/>
        <v>35237.050000000003</v>
      </c>
    </row>
    <row r="16" spans="1:11" x14ac:dyDescent="0.25">
      <c r="A16" s="25" t="s">
        <v>81</v>
      </c>
      <c r="B16" s="23"/>
      <c r="C16" s="23">
        <f>C10+C15</f>
        <v>629862.02</v>
      </c>
      <c r="D16" s="23">
        <f>D10+D15</f>
        <v>4718</v>
      </c>
      <c r="E16" s="23">
        <f>E10+E15</f>
        <v>11334.05</v>
      </c>
      <c r="F16" s="23">
        <f>E16+D16+C16+B16</f>
        <v>645914.07000000007</v>
      </c>
      <c r="G16" s="23">
        <f>G10+G15</f>
        <v>3455</v>
      </c>
      <c r="H16" s="23"/>
      <c r="I16" s="23">
        <f>I10+I15</f>
        <v>20000</v>
      </c>
      <c r="J16" s="23">
        <f>J10+J15</f>
        <v>-20000</v>
      </c>
      <c r="K16" s="24">
        <f t="shared" si="0"/>
        <v>649369.07000000007</v>
      </c>
    </row>
    <row r="17" spans="1:11" x14ac:dyDescent="0.25">
      <c r="A17" s="17" t="s">
        <v>82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x14ac:dyDescent="0.25">
      <c r="A18" s="25" t="s">
        <v>9</v>
      </c>
      <c r="B18" s="23"/>
      <c r="C18" s="23">
        <f>C16-C17</f>
        <v>629862.02</v>
      </c>
      <c r="D18" s="23">
        <f>D16-D17</f>
        <v>4718</v>
      </c>
      <c r="E18" s="23">
        <f>E16-E17</f>
        <v>11334.05</v>
      </c>
      <c r="F18" s="23">
        <f>E18+D18+C18+B18</f>
        <v>645914.07000000007</v>
      </c>
      <c r="G18" s="23">
        <f>G16-G17</f>
        <v>3455</v>
      </c>
      <c r="H18" s="23"/>
      <c r="I18" s="23">
        <f>I16-I17</f>
        <v>20000</v>
      </c>
      <c r="J18" s="23">
        <f>J16-J17</f>
        <v>-20000</v>
      </c>
      <c r="K18" s="24">
        <f>F18+G18+H18+I18+J18</f>
        <v>649369.07000000007</v>
      </c>
    </row>
    <row r="19" spans="1:11" x14ac:dyDescent="0.25">
      <c r="A19" s="17" t="s">
        <v>10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1" x14ac:dyDescent="0.25">
      <c r="A20" s="19" t="s">
        <v>83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25">
      <c r="A21" s="21" t="s">
        <v>84</v>
      </c>
      <c r="B21" s="20">
        <v>61986.86</v>
      </c>
      <c r="C21" s="18"/>
      <c r="D21" s="18"/>
      <c r="E21" s="18"/>
      <c r="F21" s="20">
        <f>E21+D21+C21+B21</f>
        <v>61986.86</v>
      </c>
      <c r="G21" s="20">
        <v>3257.97</v>
      </c>
      <c r="H21" s="20">
        <v>1614.97</v>
      </c>
      <c r="I21" s="18"/>
      <c r="J21" s="18"/>
      <c r="K21" s="20">
        <f>F21+G21+H21+I21+J21</f>
        <v>66859.8</v>
      </c>
    </row>
    <row r="22" spans="1:11" x14ac:dyDescent="0.25">
      <c r="A22" s="21" t="s">
        <v>85</v>
      </c>
      <c r="B22" s="20">
        <v>5291.54</v>
      </c>
      <c r="C22" s="18"/>
      <c r="D22" s="18"/>
      <c r="E22" s="18"/>
      <c r="F22" s="20">
        <f>E22+D22+C22+B22</f>
        <v>5291.54</v>
      </c>
      <c r="G22" s="20">
        <v>275.69</v>
      </c>
      <c r="H22" s="20">
        <v>136.16</v>
      </c>
      <c r="I22" s="18"/>
      <c r="J22" s="18"/>
      <c r="K22" s="20">
        <f>F22+G22+H22+I22+J22</f>
        <v>5703.3899999999994</v>
      </c>
    </row>
    <row r="23" spans="1:11" x14ac:dyDescent="0.25">
      <c r="A23" s="21" t="s">
        <v>86</v>
      </c>
      <c r="B23" s="18"/>
      <c r="C23" s="20">
        <v>2001.63</v>
      </c>
      <c r="D23" s="18"/>
      <c r="E23" s="18"/>
      <c r="F23" s="20">
        <f>E23+D23+C23+B23</f>
        <v>2001.63</v>
      </c>
      <c r="G23" s="18"/>
      <c r="H23" s="18"/>
      <c r="I23" s="18"/>
      <c r="J23" s="18"/>
      <c r="K23" s="20">
        <f>F23+G23+H23+I23+J23</f>
        <v>2001.63</v>
      </c>
    </row>
    <row r="24" spans="1:11" x14ac:dyDescent="0.25">
      <c r="A24" s="22" t="s">
        <v>87</v>
      </c>
      <c r="B24" s="23">
        <f>B20+B21+B22+B23</f>
        <v>67278.399999999994</v>
      </c>
      <c r="C24" s="23">
        <f>C20+C21+C22+C23</f>
        <v>2001.63</v>
      </c>
      <c r="D24" s="23"/>
      <c r="E24" s="23"/>
      <c r="F24" s="23">
        <f>E24+D24+C24+B24</f>
        <v>69280.03</v>
      </c>
      <c r="G24" s="23">
        <f>G20+G21+G22+G23</f>
        <v>3533.66</v>
      </c>
      <c r="H24" s="23">
        <f>H20+H21+H22+H23</f>
        <v>1751.13</v>
      </c>
      <c r="I24" s="23"/>
      <c r="J24" s="23"/>
      <c r="K24" s="24">
        <f>F24+G24+H24+I24+J24</f>
        <v>74564.820000000007</v>
      </c>
    </row>
    <row r="25" spans="1:11" x14ac:dyDescent="0.25">
      <c r="A25" s="19" t="s">
        <v>88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25">
      <c r="A26" s="21" t="s">
        <v>89</v>
      </c>
      <c r="B26" s="18"/>
      <c r="C26" s="18"/>
      <c r="D26" s="18"/>
      <c r="E26" s="18"/>
      <c r="F26" s="18"/>
      <c r="G26" s="20">
        <v>1527</v>
      </c>
      <c r="H26" s="18"/>
      <c r="I26" s="18"/>
      <c r="J26" s="18"/>
      <c r="K26" s="20">
        <f t="shared" ref="K26:K32" si="1">F26+G26+H26+I26+J26</f>
        <v>1527</v>
      </c>
    </row>
    <row r="27" spans="1:11" x14ac:dyDescent="0.25">
      <c r="A27" s="21" t="s">
        <v>90</v>
      </c>
      <c r="B27" s="18"/>
      <c r="C27" s="18"/>
      <c r="D27" s="18"/>
      <c r="E27" s="18"/>
      <c r="F27" s="18"/>
      <c r="G27" s="20">
        <v>569.91999999999996</v>
      </c>
      <c r="H27" s="18"/>
      <c r="I27" s="18"/>
      <c r="J27" s="18"/>
      <c r="K27" s="20">
        <f t="shared" si="1"/>
        <v>569.91999999999996</v>
      </c>
    </row>
    <row r="28" spans="1:11" x14ac:dyDescent="0.25">
      <c r="A28" s="21" t="s">
        <v>91</v>
      </c>
      <c r="B28" s="20">
        <v>37776</v>
      </c>
      <c r="C28" s="20">
        <v>2234.1</v>
      </c>
      <c r="D28" s="18"/>
      <c r="E28" s="20">
        <v>800</v>
      </c>
      <c r="F28" s="20">
        <f>E28+D28+C28+B28</f>
        <v>40810.1</v>
      </c>
      <c r="G28" s="20">
        <v>1895.2</v>
      </c>
      <c r="H28" s="20">
        <v>473.8</v>
      </c>
      <c r="I28" s="18"/>
      <c r="J28" s="18"/>
      <c r="K28" s="20">
        <f t="shared" si="1"/>
        <v>43179.1</v>
      </c>
    </row>
    <row r="29" spans="1:11" x14ac:dyDescent="0.25">
      <c r="A29" s="21" t="s">
        <v>92</v>
      </c>
      <c r="B29" s="18"/>
      <c r="C29" s="20">
        <v>7300</v>
      </c>
      <c r="D29" s="18"/>
      <c r="E29" s="20">
        <v>8968.5</v>
      </c>
      <c r="F29" s="20">
        <f>E29+D29+C29+B29</f>
        <v>16268.5</v>
      </c>
      <c r="G29" s="18"/>
      <c r="H29" s="18"/>
      <c r="I29" s="18"/>
      <c r="J29" s="18"/>
      <c r="K29" s="20">
        <f t="shared" si="1"/>
        <v>16268.5</v>
      </c>
    </row>
    <row r="30" spans="1:11" x14ac:dyDescent="0.25">
      <c r="A30" s="21" t="s">
        <v>93</v>
      </c>
      <c r="B30" s="18"/>
      <c r="C30" s="18"/>
      <c r="D30" s="18"/>
      <c r="E30" s="18"/>
      <c r="F30" s="18"/>
      <c r="G30" s="20">
        <v>412</v>
      </c>
      <c r="H30" s="18"/>
      <c r="I30" s="18"/>
      <c r="J30" s="18"/>
      <c r="K30" s="20">
        <f t="shared" si="1"/>
        <v>412</v>
      </c>
    </row>
    <row r="31" spans="1:11" x14ac:dyDescent="0.25">
      <c r="A31" s="21" t="s">
        <v>94</v>
      </c>
      <c r="B31" s="18"/>
      <c r="C31" s="18"/>
      <c r="D31" s="20">
        <v>3000</v>
      </c>
      <c r="E31" s="18"/>
      <c r="F31" s="20">
        <f>E31+D31+C31+B31</f>
        <v>3000</v>
      </c>
      <c r="G31" s="18"/>
      <c r="H31" s="18"/>
      <c r="I31" s="18"/>
      <c r="J31" s="18"/>
      <c r="K31" s="20">
        <f t="shared" si="1"/>
        <v>3000</v>
      </c>
    </row>
    <row r="32" spans="1:11" x14ac:dyDescent="0.25">
      <c r="A32" s="22" t="s">
        <v>95</v>
      </c>
      <c r="B32" s="23">
        <f>B25+B26+B27+B28+B29+B30+B31</f>
        <v>37776</v>
      </c>
      <c r="C32" s="23">
        <f>C25+C26+C27+C28+C29+C30+C31</f>
        <v>9534.1</v>
      </c>
      <c r="D32" s="23">
        <f>D25+D26+D27+D28+D29+D30+D31</f>
        <v>3000</v>
      </c>
      <c r="E32" s="23">
        <f>E25+E26+E27+E28+E29+E30+E31</f>
        <v>9768.5</v>
      </c>
      <c r="F32" s="23">
        <f>E32+D32+C32+B32</f>
        <v>60078.6</v>
      </c>
      <c r="G32" s="23">
        <f>G25+G26+G27+G28+G29+G30+G31</f>
        <v>4404.12</v>
      </c>
      <c r="H32" s="23">
        <f>H25+H26+H27+H28+H29+H30+H31</f>
        <v>473.8</v>
      </c>
      <c r="I32" s="23"/>
      <c r="J32" s="23"/>
      <c r="K32" s="24">
        <f t="shared" si="1"/>
        <v>64956.520000000004</v>
      </c>
    </row>
    <row r="33" spans="1:11" x14ac:dyDescent="0.25">
      <c r="A33" s="19" t="s">
        <v>96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x14ac:dyDescent="0.25">
      <c r="A34" s="21" t="s">
        <v>97</v>
      </c>
      <c r="B34" s="18"/>
      <c r="C34" s="18"/>
      <c r="D34" s="18"/>
      <c r="E34" s="18"/>
      <c r="F34" s="18"/>
      <c r="G34" s="20">
        <v>15.94</v>
      </c>
      <c r="H34" s="18"/>
      <c r="I34" s="18"/>
      <c r="J34" s="18"/>
      <c r="K34" s="20">
        <f t="shared" ref="K34:K44" si="2">F34+G34+H34+I34+J34</f>
        <v>15.94</v>
      </c>
    </row>
    <row r="35" spans="1:11" x14ac:dyDescent="0.25">
      <c r="A35" s="21" t="s">
        <v>98</v>
      </c>
      <c r="B35" s="18"/>
      <c r="C35" s="18"/>
      <c r="D35" s="20">
        <v>275</v>
      </c>
      <c r="E35" s="18"/>
      <c r="F35" s="20">
        <f>E35+D35+C35+B35</f>
        <v>275</v>
      </c>
      <c r="G35" s="18"/>
      <c r="H35" s="18"/>
      <c r="I35" s="18"/>
      <c r="J35" s="18"/>
      <c r="K35" s="20">
        <f t="shared" si="2"/>
        <v>275</v>
      </c>
    </row>
    <row r="36" spans="1:11" x14ac:dyDescent="0.25">
      <c r="A36" s="21" t="s">
        <v>99</v>
      </c>
      <c r="B36" s="18"/>
      <c r="C36" s="20">
        <v>120.3</v>
      </c>
      <c r="D36" s="20">
        <v>716.02</v>
      </c>
      <c r="E36" s="18"/>
      <c r="F36" s="20">
        <f>E36+D36+C36+B36</f>
        <v>836.31999999999994</v>
      </c>
      <c r="G36" s="20">
        <v>3416.09</v>
      </c>
      <c r="H36" s="18"/>
      <c r="I36" s="18"/>
      <c r="J36" s="18"/>
      <c r="K36" s="20">
        <f t="shared" si="2"/>
        <v>4252.41</v>
      </c>
    </row>
    <row r="37" spans="1:11" x14ac:dyDescent="0.25">
      <c r="A37" s="21" t="s">
        <v>100</v>
      </c>
      <c r="B37" s="18"/>
      <c r="C37" s="20">
        <v>8736.77</v>
      </c>
      <c r="D37" s="20">
        <v>43.66</v>
      </c>
      <c r="E37" s="18"/>
      <c r="F37" s="20">
        <f>E37+D37+C37+B37</f>
        <v>8780.43</v>
      </c>
      <c r="G37" s="20">
        <v>1195.8</v>
      </c>
      <c r="H37" s="18"/>
      <c r="I37" s="18"/>
      <c r="J37" s="18"/>
      <c r="K37" s="20">
        <f t="shared" si="2"/>
        <v>9976.23</v>
      </c>
    </row>
    <row r="38" spans="1:11" x14ac:dyDescent="0.25">
      <c r="A38" s="21" t="s">
        <v>101</v>
      </c>
      <c r="B38" s="18"/>
      <c r="C38" s="20">
        <v>45</v>
      </c>
      <c r="D38" s="18"/>
      <c r="E38" s="20">
        <v>55.72</v>
      </c>
      <c r="F38" s="20">
        <f>E38+D38+C38+B38</f>
        <v>100.72</v>
      </c>
      <c r="G38" s="20">
        <v>2.48</v>
      </c>
      <c r="H38" s="18"/>
      <c r="I38" s="18"/>
      <c r="J38" s="18"/>
      <c r="K38" s="20">
        <f t="shared" si="2"/>
        <v>103.2</v>
      </c>
    </row>
    <row r="39" spans="1:11" x14ac:dyDescent="0.25">
      <c r="A39" s="21" t="s">
        <v>102</v>
      </c>
      <c r="B39" s="18"/>
      <c r="C39" s="20">
        <v>53.36</v>
      </c>
      <c r="D39" s="18"/>
      <c r="E39" s="18"/>
      <c r="F39" s="20">
        <f>E39+D39+C39+B39</f>
        <v>53.36</v>
      </c>
      <c r="G39" s="18"/>
      <c r="H39" s="18"/>
      <c r="I39" s="18"/>
      <c r="J39" s="18"/>
      <c r="K39" s="20">
        <f t="shared" si="2"/>
        <v>53.36</v>
      </c>
    </row>
    <row r="40" spans="1:11" x14ac:dyDescent="0.25">
      <c r="A40" s="21" t="s">
        <v>103</v>
      </c>
      <c r="B40" s="18"/>
      <c r="C40" s="18"/>
      <c r="D40" s="18"/>
      <c r="E40" s="18"/>
      <c r="F40" s="18"/>
      <c r="G40" s="20">
        <v>10</v>
      </c>
      <c r="H40" s="18"/>
      <c r="I40" s="18"/>
      <c r="J40" s="18"/>
      <c r="K40" s="20">
        <f t="shared" si="2"/>
        <v>10</v>
      </c>
    </row>
    <row r="41" spans="1:11" x14ac:dyDescent="0.25">
      <c r="A41" s="21" t="s">
        <v>104</v>
      </c>
      <c r="B41" s="18"/>
      <c r="C41" s="20">
        <v>39.99</v>
      </c>
      <c r="D41" s="20">
        <v>525</v>
      </c>
      <c r="E41" s="18"/>
      <c r="F41" s="20">
        <f>E41+D41+C41+B41</f>
        <v>564.99</v>
      </c>
      <c r="G41" s="18"/>
      <c r="H41" s="18"/>
      <c r="I41" s="18"/>
      <c r="J41" s="18"/>
      <c r="K41" s="20">
        <f t="shared" si="2"/>
        <v>564.99</v>
      </c>
    </row>
    <row r="42" spans="1:11" x14ac:dyDescent="0.25">
      <c r="A42" s="21" t="s">
        <v>105</v>
      </c>
      <c r="B42" s="18"/>
      <c r="C42" s="18"/>
      <c r="D42" s="18"/>
      <c r="E42" s="18"/>
      <c r="F42" s="18"/>
      <c r="G42" s="20">
        <v>169.99</v>
      </c>
      <c r="H42" s="18"/>
      <c r="I42" s="18"/>
      <c r="J42" s="18"/>
      <c r="K42" s="20">
        <f t="shared" si="2"/>
        <v>169.99</v>
      </c>
    </row>
    <row r="43" spans="1:11" x14ac:dyDescent="0.25">
      <c r="A43" s="21" t="s">
        <v>106</v>
      </c>
      <c r="B43" s="18"/>
      <c r="C43" s="18"/>
      <c r="D43" s="18"/>
      <c r="E43" s="18"/>
      <c r="F43" s="18"/>
      <c r="G43" s="20">
        <v>488.11</v>
      </c>
      <c r="H43" s="18"/>
      <c r="I43" s="18"/>
      <c r="J43" s="18"/>
      <c r="K43" s="20">
        <f t="shared" si="2"/>
        <v>488.11</v>
      </c>
    </row>
    <row r="44" spans="1:11" x14ac:dyDescent="0.25">
      <c r="A44" s="22" t="s">
        <v>107</v>
      </c>
      <c r="B44" s="23"/>
      <c r="C44" s="23">
        <f>C33+C34+C35+C36+C37+C38+C39+C40+C41+C42+C43</f>
        <v>8995.42</v>
      </c>
      <c r="D44" s="23">
        <f>D33+D34+D35+D36+D37+D38+D39+D40+D41+D42+D43</f>
        <v>1559.68</v>
      </c>
      <c r="E44" s="23">
        <f>E33+E34+E35+E36+E37+E38+E39+E40+E41+E42+E43</f>
        <v>55.72</v>
      </c>
      <c r="F44" s="23">
        <f>E44+D44+C44+B44</f>
        <v>10610.82</v>
      </c>
      <c r="G44" s="23">
        <f>G33+G34+G35+G36+G37+G38+G39+G40+G41+G42+G43</f>
        <v>5298.4099999999989</v>
      </c>
      <c r="H44" s="23"/>
      <c r="I44" s="23"/>
      <c r="J44" s="23"/>
      <c r="K44" s="24">
        <f t="shared" si="2"/>
        <v>15909.23</v>
      </c>
    </row>
    <row r="45" spans="1:11" x14ac:dyDescent="0.25">
      <c r="A45" s="19" t="s">
        <v>108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x14ac:dyDescent="0.25">
      <c r="A46" s="21" t="s">
        <v>109</v>
      </c>
      <c r="B46" s="20">
        <v>219.49</v>
      </c>
      <c r="C46" s="20">
        <v>4144.92</v>
      </c>
      <c r="D46" s="18"/>
      <c r="E46" s="18"/>
      <c r="F46" s="20">
        <f t="shared" ref="F46:F53" si="3">E46+D46+C46+B46</f>
        <v>4364.41</v>
      </c>
      <c r="G46" s="18"/>
      <c r="H46" s="18"/>
      <c r="I46" s="18"/>
      <c r="J46" s="18"/>
      <c r="K46" s="20">
        <f t="shared" ref="K46:K53" si="4">F46+G46+H46+I46+J46</f>
        <v>4364.41</v>
      </c>
    </row>
    <row r="47" spans="1:11" x14ac:dyDescent="0.25">
      <c r="A47" s="21" t="s">
        <v>110</v>
      </c>
      <c r="B47" s="18"/>
      <c r="C47" s="18"/>
      <c r="D47" s="20">
        <v>1265</v>
      </c>
      <c r="E47" s="18"/>
      <c r="F47" s="20">
        <f t="shared" si="3"/>
        <v>1265</v>
      </c>
      <c r="G47" s="18"/>
      <c r="H47" s="20">
        <v>865.77</v>
      </c>
      <c r="I47" s="18"/>
      <c r="J47" s="18"/>
      <c r="K47" s="20">
        <f t="shared" si="4"/>
        <v>2130.77</v>
      </c>
    </row>
    <row r="48" spans="1:11" x14ac:dyDescent="0.25">
      <c r="A48" s="21" t="s">
        <v>111</v>
      </c>
      <c r="B48" s="18"/>
      <c r="C48" s="20">
        <v>18527.96</v>
      </c>
      <c r="D48" s="18"/>
      <c r="E48" s="18"/>
      <c r="F48" s="20">
        <f t="shared" si="3"/>
        <v>18527.96</v>
      </c>
      <c r="G48" s="18"/>
      <c r="H48" s="18"/>
      <c r="I48" s="18"/>
      <c r="J48" s="18"/>
      <c r="K48" s="20">
        <f t="shared" si="4"/>
        <v>18527.96</v>
      </c>
    </row>
    <row r="49" spans="1:11" x14ac:dyDescent="0.25">
      <c r="A49" s="21" t="s">
        <v>112</v>
      </c>
      <c r="B49" s="18"/>
      <c r="C49" s="18"/>
      <c r="D49" s="20">
        <v>492.06</v>
      </c>
      <c r="E49" s="18"/>
      <c r="F49" s="20">
        <f t="shared" si="3"/>
        <v>492.06</v>
      </c>
      <c r="G49" s="20">
        <v>199.07</v>
      </c>
      <c r="H49" s="18"/>
      <c r="I49" s="18"/>
      <c r="J49" s="18"/>
      <c r="K49" s="20">
        <f t="shared" si="4"/>
        <v>691.13</v>
      </c>
    </row>
    <row r="50" spans="1:11" x14ac:dyDescent="0.25">
      <c r="A50" s="21" t="s">
        <v>113</v>
      </c>
      <c r="B50" s="18"/>
      <c r="C50" s="18"/>
      <c r="D50" s="18"/>
      <c r="E50" s="20">
        <v>1455</v>
      </c>
      <c r="F50" s="20">
        <f t="shared" si="3"/>
        <v>1455</v>
      </c>
      <c r="G50" s="18"/>
      <c r="H50" s="18"/>
      <c r="I50" s="18"/>
      <c r="J50" s="18"/>
      <c r="K50" s="20">
        <f t="shared" si="4"/>
        <v>1455</v>
      </c>
    </row>
    <row r="51" spans="1:11" x14ac:dyDescent="0.25">
      <c r="A51" s="22" t="s">
        <v>114</v>
      </c>
      <c r="B51" s="23">
        <f>B45+B46+B47+B48+B49+B50</f>
        <v>219.49</v>
      </c>
      <c r="C51" s="23">
        <f>C45+C46+C47+C48+C49+C50</f>
        <v>22672.879999999997</v>
      </c>
      <c r="D51" s="23">
        <f>D45+D46+D47+D48+D49+D50</f>
        <v>1757.06</v>
      </c>
      <c r="E51" s="23">
        <f>E45+E46+E47+E48+E49+E50</f>
        <v>1455</v>
      </c>
      <c r="F51" s="23">
        <f t="shared" si="3"/>
        <v>26104.43</v>
      </c>
      <c r="G51" s="23">
        <f>G45+G46+G47+G48+G49+G50</f>
        <v>199.07</v>
      </c>
      <c r="H51" s="23">
        <f>H45+H46+H47+H48+H49+H50</f>
        <v>865.77</v>
      </c>
      <c r="I51" s="23"/>
      <c r="J51" s="23"/>
      <c r="K51" s="24">
        <f t="shared" si="4"/>
        <v>27169.27</v>
      </c>
    </row>
    <row r="52" spans="1:11" x14ac:dyDescent="0.25">
      <c r="A52" s="19" t="s">
        <v>115</v>
      </c>
      <c r="B52" s="18"/>
      <c r="C52" s="18"/>
      <c r="D52" s="20">
        <v>446.8</v>
      </c>
      <c r="E52" s="18"/>
      <c r="F52" s="20">
        <f t="shared" si="3"/>
        <v>446.8</v>
      </c>
      <c r="G52" s="18"/>
      <c r="H52" s="18"/>
      <c r="I52" s="18"/>
      <c r="J52" s="18"/>
      <c r="K52" s="20">
        <f t="shared" si="4"/>
        <v>446.8</v>
      </c>
    </row>
    <row r="53" spans="1:11" x14ac:dyDescent="0.25">
      <c r="A53" s="19" t="s">
        <v>116</v>
      </c>
      <c r="B53" s="18"/>
      <c r="C53" s="20">
        <v>72.55</v>
      </c>
      <c r="D53" s="18"/>
      <c r="E53" s="20">
        <v>119.93</v>
      </c>
      <c r="F53" s="20">
        <f t="shared" si="3"/>
        <v>192.48000000000002</v>
      </c>
      <c r="G53" s="20">
        <v>15</v>
      </c>
      <c r="H53" s="18"/>
      <c r="I53" s="18"/>
      <c r="J53" s="18"/>
      <c r="K53" s="20">
        <f t="shared" si="4"/>
        <v>207.48000000000002</v>
      </c>
    </row>
    <row r="54" spans="1:11" x14ac:dyDescent="0.25">
      <c r="A54" s="19" t="s">
        <v>117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x14ac:dyDescent="0.25">
      <c r="A55" s="21" t="s">
        <v>118</v>
      </c>
      <c r="B55" s="18"/>
      <c r="C55" s="20">
        <v>9146.06</v>
      </c>
      <c r="D55" s="18"/>
      <c r="E55" s="18"/>
      <c r="F55" s="20">
        <f>E55+D55+C55+B55</f>
        <v>9146.06</v>
      </c>
      <c r="G55" s="18"/>
      <c r="H55" s="18"/>
      <c r="I55" s="18"/>
      <c r="J55" s="18"/>
      <c r="K55" s="20">
        <f t="shared" ref="K55:K62" si="5">F55+G55+H55+I55+J55</f>
        <v>9146.06</v>
      </c>
    </row>
    <row r="56" spans="1:11" x14ac:dyDescent="0.25">
      <c r="A56" s="21" t="s">
        <v>119</v>
      </c>
      <c r="B56" s="18"/>
      <c r="C56" s="20">
        <v>513.19000000000005</v>
      </c>
      <c r="D56" s="18"/>
      <c r="E56" s="18"/>
      <c r="F56" s="20">
        <f>E56+D56+C56+B56</f>
        <v>513.19000000000005</v>
      </c>
      <c r="G56" s="18"/>
      <c r="H56" s="18"/>
      <c r="I56" s="18"/>
      <c r="J56" s="18"/>
      <c r="K56" s="20">
        <f t="shared" si="5"/>
        <v>513.19000000000005</v>
      </c>
    </row>
    <row r="57" spans="1:11" x14ac:dyDescent="0.25">
      <c r="A57" s="22" t="s">
        <v>120</v>
      </c>
      <c r="B57" s="23"/>
      <c r="C57" s="23">
        <f>C54+C55+C56</f>
        <v>9659.25</v>
      </c>
      <c r="D57" s="23"/>
      <c r="E57" s="23"/>
      <c r="F57" s="23">
        <f>E57+D57+C57+B57</f>
        <v>9659.25</v>
      </c>
      <c r="G57" s="23"/>
      <c r="H57" s="23"/>
      <c r="I57" s="23"/>
      <c r="J57" s="23"/>
      <c r="K57" s="24">
        <f t="shared" si="5"/>
        <v>9659.25</v>
      </c>
    </row>
    <row r="58" spans="1:11" x14ac:dyDescent="0.25">
      <c r="A58" s="19" t="s">
        <v>121</v>
      </c>
      <c r="B58" s="18"/>
      <c r="C58" s="20">
        <v>150</v>
      </c>
      <c r="D58" s="18"/>
      <c r="E58" s="18"/>
      <c r="F58" s="20">
        <f>E58+D58+C58+B58</f>
        <v>150</v>
      </c>
      <c r="G58" s="18"/>
      <c r="H58" s="18"/>
      <c r="I58" s="18"/>
      <c r="J58" s="18"/>
      <c r="K58" s="20">
        <f t="shared" si="5"/>
        <v>150</v>
      </c>
    </row>
    <row r="59" spans="1:11" x14ac:dyDescent="0.25">
      <c r="A59" s="19" t="s">
        <v>122</v>
      </c>
      <c r="B59" s="18"/>
      <c r="C59" s="18"/>
      <c r="D59" s="18"/>
      <c r="E59" s="18"/>
      <c r="F59" s="18"/>
      <c r="G59" s="20">
        <v>91.99</v>
      </c>
      <c r="H59" s="18"/>
      <c r="I59" s="18"/>
      <c r="J59" s="18"/>
      <c r="K59" s="20">
        <f t="shared" si="5"/>
        <v>91.99</v>
      </c>
    </row>
    <row r="60" spans="1:11" x14ac:dyDescent="0.25">
      <c r="A60" s="19" t="s">
        <v>123</v>
      </c>
      <c r="B60" s="18"/>
      <c r="C60" s="20">
        <v>152</v>
      </c>
      <c r="D60" s="18"/>
      <c r="E60" s="18"/>
      <c r="F60" s="20">
        <f>E60+D60+C60+B60</f>
        <v>152</v>
      </c>
      <c r="G60" s="18"/>
      <c r="H60" s="18"/>
      <c r="I60" s="18"/>
      <c r="J60" s="18"/>
      <c r="K60" s="20">
        <f t="shared" si="5"/>
        <v>152</v>
      </c>
    </row>
    <row r="61" spans="1:11" x14ac:dyDescent="0.25">
      <c r="A61" s="25" t="s">
        <v>124</v>
      </c>
      <c r="B61" s="23">
        <f>B24+B32+B44+B51+B52+B53+B57+B58+B59+B60</f>
        <v>105273.89</v>
      </c>
      <c r="C61" s="23">
        <f>C24+C32+C44+C51+C52+C53+C57+C58+C59+C60</f>
        <v>53237.83</v>
      </c>
      <c r="D61" s="23">
        <f>D24+D32+D44+D51+D52+D53+D57+D58+D59+D60</f>
        <v>6763.54</v>
      </c>
      <c r="E61" s="23">
        <f>E24+E32+E44+E51+E52+E53+E57+E58+E59+E60</f>
        <v>11399.15</v>
      </c>
      <c r="F61" s="23">
        <f>E61+D61+C61+B61</f>
        <v>176674.41</v>
      </c>
      <c r="G61" s="23">
        <f>G24+G32+G44+G51+G52+G53+G57+G58+G59+G60</f>
        <v>13542.249999999998</v>
      </c>
      <c r="H61" s="23">
        <f>H24+H32+H44+H51+H52+H53+H57+H58+H59+H60</f>
        <v>3090.7000000000003</v>
      </c>
      <c r="I61" s="23"/>
      <c r="J61" s="23"/>
      <c r="K61" s="24">
        <f t="shared" si="5"/>
        <v>193307.36000000002</v>
      </c>
    </row>
    <row r="62" spans="1:11" x14ac:dyDescent="0.25">
      <c r="A62" s="25" t="s">
        <v>15</v>
      </c>
      <c r="B62" s="23">
        <f>B18-B61</f>
        <v>-105273.89</v>
      </c>
      <c r="C62" s="23">
        <f>C18-C61</f>
        <v>576624.19000000006</v>
      </c>
      <c r="D62" s="23">
        <f>D18-D61</f>
        <v>-2045.54</v>
      </c>
      <c r="E62" s="23">
        <f>E18-E61</f>
        <v>-65.100000000000364</v>
      </c>
      <c r="F62" s="23">
        <f>E62+D62+C62+B62</f>
        <v>469239.66000000003</v>
      </c>
      <c r="G62" s="23">
        <f>G18-G61</f>
        <v>-10087.249999999998</v>
      </c>
      <c r="H62" s="23">
        <f>H18-H61</f>
        <v>-3090.7000000000003</v>
      </c>
      <c r="I62" s="23">
        <f>I18-I61</f>
        <v>20000</v>
      </c>
      <c r="J62" s="23">
        <f>J18-J61</f>
        <v>-20000</v>
      </c>
      <c r="K62" s="24">
        <f t="shared" si="5"/>
        <v>456061.71</v>
      </c>
    </row>
    <row r="63" spans="1:11" x14ac:dyDescent="0.25">
      <c r="A63" s="17" t="s">
        <v>125</v>
      </c>
      <c r="B63" s="18"/>
      <c r="C63" s="18"/>
      <c r="D63" s="18"/>
      <c r="E63" s="18"/>
      <c r="F63" s="18"/>
      <c r="G63" s="18"/>
      <c r="H63" s="18"/>
      <c r="I63" s="18"/>
      <c r="J63" s="18"/>
    </row>
    <row r="64" spans="1:11" x14ac:dyDescent="0.25">
      <c r="A64" s="19" t="s">
        <v>126</v>
      </c>
      <c r="B64" s="18"/>
      <c r="C64" s="18"/>
      <c r="D64" s="18"/>
      <c r="E64" s="18"/>
      <c r="F64" s="18"/>
      <c r="G64" s="20">
        <v>259.25</v>
      </c>
      <c r="H64" s="18"/>
      <c r="I64" s="18"/>
      <c r="J64" s="18"/>
      <c r="K64" s="20">
        <f>F64+G64+H64+I64+J64</f>
        <v>259.25</v>
      </c>
    </row>
    <row r="65" spans="1:11" x14ac:dyDescent="0.25">
      <c r="A65" s="25" t="s">
        <v>127</v>
      </c>
      <c r="B65" s="23"/>
      <c r="C65" s="23"/>
      <c r="D65" s="23"/>
      <c r="E65" s="23"/>
      <c r="F65" s="23"/>
      <c r="G65" s="23">
        <f>G64</f>
        <v>259.25</v>
      </c>
      <c r="H65" s="23"/>
      <c r="I65" s="23"/>
      <c r="J65" s="23"/>
      <c r="K65" s="24">
        <f>F65+G65+H65+I65+J65</f>
        <v>259.25</v>
      </c>
    </row>
    <row r="66" spans="1:11" x14ac:dyDescent="0.25">
      <c r="A66" s="17" t="s">
        <v>55</v>
      </c>
      <c r="B66" s="18"/>
      <c r="C66" s="18"/>
      <c r="D66" s="18"/>
      <c r="E66" s="18"/>
      <c r="F66" s="18"/>
      <c r="G66" s="18"/>
      <c r="H66" s="18"/>
      <c r="I66" s="18"/>
      <c r="J66" s="18"/>
    </row>
    <row r="67" spans="1:11" x14ac:dyDescent="0.25">
      <c r="A67" s="19" t="s">
        <v>128</v>
      </c>
      <c r="B67" s="18"/>
      <c r="C67" s="20">
        <v>1303.29</v>
      </c>
      <c r="D67" s="18"/>
      <c r="E67" s="18"/>
      <c r="F67" s="20">
        <f>E67+D67+C67+B67</f>
        <v>1303.29</v>
      </c>
      <c r="G67" s="18"/>
      <c r="H67" s="18"/>
      <c r="I67" s="18"/>
      <c r="J67" s="18"/>
      <c r="K67" s="20">
        <f>F67+G67+H67+I67+J67</f>
        <v>1303.29</v>
      </c>
    </row>
    <row r="68" spans="1:11" x14ac:dyDescent="0.25">
      <c r="A68" s="25" t="s">
        <v>129</v>
      </c>
      <c r="B68" s="23"/>
      <c r="C68" s="23">
        <f>C67</f>
        <v>1303.29</v>
      </c>
      <c r="D68" s="23"/>
      <c r="E68" s="23"/>
      <c r="F68" s="23">
        <f>E68+D68+C68+B68</f>
        <v>1303.29</v>
      </c>
      <c r="G68" s="23"/>
      <c r="H68" s="23"/>
      <c r="I68" s="23"/>
      <c r="J68" s="23"/>
      <c r="K68" s="24">
        <f>F68+G68+H68+I68+J68</f>
        <v>1303.29</v>
      </c>
    </row>
    <row r="69" spans="1:11" x14ac:dyDescent="0.25">
      <c r="A69" s="25" t="s">
        <v>58</v>
      </c>
      <c r="B69" s="23"/>
      <c r="C69" s="23">
        <f>C65-C68</f>
        <v>-1303.29</v>
      </c>
      <c r="D69" s="23"/>
      <c r="E69" s="23"/>
      <c r="F69" s="23">
        <f>E69+D69+C69+B69</f>
        <v>-1303.29</v>
      </c>
      <c r="G69" s="23">
        <f>G65-G68</f>
        <v>259.25</v>
      </c>
      <c r="H69" s="23"/>
      <c r="I69" s="23"/>
      <c r="J69" s="23"/>
      <c r="K69" s="24">
        <f>F69+G69+H69+I69+J69</f>
        <v>-1044.04</v>
      </c>
    </row>
    <row r="70" spans="1:11" x14ac:dyDescent="0.25">
      <c r="A70" s="25" t="s">
        <v>16</v>
      </c>
      <c r="B70" s="23">
        <f>B62+B69</f>
        <v>-105273.89</v>
      </c>
      <c r="C70" s="23">
        <f>C62+C69</f>
        <v>575320.9</v>
      </c>
      <c r="D70" s="23">
        <f>D62+D69</f>
        <v>-2045.54</v>
      </c>
      <c r="E70" s="23">
        <f>E62+E69</f>
        <v>-65.100000000000364</v>
      </c>
      <c r="F70" s="23">
        <f>E70+D70+C70+B70</f>
        <v>467936.37</v>
      </c>
      <c r="G70" s="23">
        <f>G62+G69</f>
        <v>-9827.9999999999982</v>
      </c>
      <c r="H70" s="23">
        <f>H62+H69</f>
        <v>-3090.7000000000003</v>
      </c>
      <c r="I70" s="23">
        <f>I62+I69</f>
        <v>20000</v>
      </c>
      <c r="J70" s="23">
        <f>J62+J69</f>
        <v>-20000</v>
      </c>
      <c r="K70" s="24">
        <f>F70+G70+H70+I70+J70</f>
        <v>455017.67</v>
      </c>
    </row>
    <row r="74" spans="1:11" x14ac:dyDescent="0.25">
      <c r="A74" s="26" t="s">
        <v>130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</row>
  </sheetData>
  <mergeCells count="4">
    <mergeCell ref="A1:K1"/>
    <mergeCell ref="A2:K2"/>
    <mergeCell ref="A3:K3"/>
    <mergeCell ref="A74:K7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19D4-0773-48B8-8730-CA98742057ED}">
  <dimension ref="A1:B73"/>
  <sheetViews>
    <sheetView workbookViewId="0">
      <selection activeCell="A2" sqref="A2:B2"/>
    </sheetView>
  </sheetViews>
  <sheetFormatPr defaultColWidth="12.85546875" defaultRowHeight="15" x14ac:dyDescent="0.25"/>
  <cols>
    <col min="1" max="1" width="42" style="1" customWidth="1"/>
    <col min="2" max="2" width="17.42578125" style="1" customWidth="1"/>
  </cols>
  <sheetData>
    <row r="1" spans="1:2" x14ac:dyDescent="0.25">
      <c r="A1" s="12" t="s">
        <v>131</v>
      </c>
      <c r="B1" s="13"/>
    </row>
    <row r="2" spans="1:2" x14ac:dyDescent="0.25">
      <c r="A2" s="14" t="s">
        <v>176</v>
      </c>
      <c r="B2" s="13"/>
    </row>
    <row r="3" spans="1:2" x14ac:dyDescent="0.25">
      <c r="A3" s="15" t="s">
        <v>61</v>
      </c>
      <c r="B3" s="13"/>
    </row>
    <row r="5" spans="1:2" x14ac:dyDescent="0.25">
      <c r="A5" s="16" t="s">
        <v>62</v>
      </c>
      <c r="B5" s="16" t="s">
        <v>0</v>
      </c>
    </row>
    <row r="6" spans="1:2" x14ac:dyDescent="0.25">
      <c r="A6" s="17" t="s">
        <v>1</v>
      </c>
    </row>
    <row r="7" spans="1:2" x14ac:dyDescent="0.25">
      <c r="A7" s="19" t="s">
        <v>72</v>
      </c>
      <c r="B7" s="20">
        <v>0</v>
      </c>
    </row>
    <row r="8" spans="1:2" x14ac:dyDescent="0.25">
      <c r="A8" s="21" t="s">
        <v>73</v>
      </c>
      <c r="B8" s="20">
        <v>4270</v>
      </c>
    </row>
    <row r="9" spans="1:2" x14ac:dyDescent="0.25">
      <c r="A9" s="21" t="s">
        <v>74</v>
      </c>
      <c r="B9" s="20">
        <v>609862.02</v>
      </c>
    </row>
    <row r="10" spans="1:2" x14ac:dyDescent="0.25">
      <c r="A10" s="22" t="s">
        <v>75</v>
      </c>
      <c r="B10" s="24">
        <f>B7+B8+B9</f>
        <v>614132.02</v>
      </c>
    </row>
    <row r="11" spans="1:2" x14ac:dyDescent="0.25">
      <c r="A11" s="19" t="s">
        <v>76</v>
      </c>
      <c r="B11" s="20">
        <v>0</v>
      </c>
    </row>
    <row r="12" spans="1:2" x14ac:dyDescent="0.25">
      <c r="A12" s="21" t="s">
        <v>77</v>
      </c>
      <c r="B12" s="20">
        <v>3903</v>
      </c>
    </row>
    <row r="13" spans="1:2" x14ac:dyDescent="0.25">
      <c r="A13" s="21" t="s">
        <v>78</v>
      </c>
      <c r="B13" s="20">
        <v>11334.05</v>
      </c>
    </row>
    <row r="14" spans="1:2" x14ac:dyDescent="0.25">
      <c r="A14" s="21" t="s">
        <v>79</v>
      </c>
      <c r="B14" s="20">
        <v>20000</v>
      </c>
    </row>
    <row r="15" spans="1:2" x14ac:dyDescent="0.25">
      <c r="A15" s="22" t="s">
        <v>80</v>
      </c>
      <c r="B15" s="24">
        <f>B11+B12+B13+B14</f>
        <v>35237.050000000003</v>
      </c>
    </row>
    <row r="16" spans="1:2" x14ac:dyDescent="0.25">
      <c r="A16" s="25" t="s">
        <v>81</v>
      </c>
      <c r="B16" s="24">
        <f>B10+B15</f>
        <v>649369.07000000007</v>
      </c>
    </row>
    <row r="17" spans="1:2" x14ac:dyDescent="0.25">
      <c r="A17" s="25" t="s">
        <v>9</v>
      </c>
      <c r="B17" s="24">
        <v>649369.07000000007</v>
      </c>
    </row>
    <row r="18" spans="1:2" x14ac:dyDescent="0.25">
      <c r="A18" s="17" t="s">
        <v>10</v>
      </c>
    </row>
    <row r="19" spans="1:2" x14ac:dyDescent="0.25">
      <c r="A19" s="19" t="s">
        <v>83</v>
      </c>
      <c r="B19" s="18"/>
    </row>
    <row r="20" spans="1:2" x14ac:dyDescent="0.25">
      <c r="A20" s="21" t="s">
        <v>84</v>
      </c>
      <c r="B20" s="20">
        <v>66859.8</v>
      </c>
    </row>
    <row r="21" spans="1:2" x14ac:dyDescent="0.25">
      <c r="A21" s="21" t="s">
        <v>85</v>
      </c>
      <c r="B21" s="20">
        <v>5703.39</v>
      </c>
    </row>
    <row r="22" spans="1:2" x14ac:dyDescent="0.25">
      <c r="A22" s="21" t="s">
        <v>86</v>
      </c>
      <c r="B22" s="20">
        <v>2001.63</v>
      </c>
    </row>
    <row r="23" spans="1:2" x14ac:dyDescent="0.25">
      <c r="A23" s="22" t="s">
        <v>87</v>
      </c>
      <c r="B23" s="24">
        <f>B19+B20+B21+B22</f>
        <v>74564.820000000007</v>
      </c>
    </row>
    <row r="24" spans="1:2" x14ac:dyDescent="0.25">
      <c r="A24" s="19" t="s">
        <v>88</v>
      </c>
      <c r="B24" s="18"/>
    </row>
    <row r="25" spans="1:2" x14ac:dyDescent="0.25">
      <c r="A25" s="21" t="s">
        <v>89</v>
      </c>
      <c r="B25" s="20">
        <v>1527</v>
      </c>
    </row>
    <row r="26" spans="1:2" x14ac:dyDescent="0.25">
      <c r="A26" s="21" t="s">
        <v>90</v>
      </c>
      <c r="B26" s="20">
        <v>569.91999999999996</v>
      </c>
    </row>
    <row r="27" spans="1:2" x14ac:dyDescent="0.25">
      <c r="A27" s="21" t="s">
        <v>91</v>
      </c>
      <c r="B27" s="20">
        <v>43179.1</v>
      </c>
    </row>
    <row r="28" spans="1:2" x14ac:dyDescent="0.25">
      <c r="A28" s="21" t="s">
        <v>92</v>
      </c>
      <c r="B28" s="20">
        <v>16268.5</v>
      </c>
    </row>
    <row r="29" spans="1:2" x14ac:dyDescent="0.25">
      <c r="A29" s="21" t="s">
        <v>93</v>
      </c>
      <c r="B29" s="20">
        <v>412</v>
      </c>
    </row>
    <row r="30" spans="1:2" x14ac:dyDescent="0.25">
      <c r="A30" s="21" t="s">
        <v>94</v>
      </c>
      <c r="B30" s="20">
        <v>3000</v>
      </c>
    </row>
    <row r="31" spans="1:2" x14ac:dyDescent="0.25">
      <c r="A31" s="22" t="s">
        <v>95</v>
      </c>
      <c r="B31" s="24">
        <f>B24+B25+B26+B27+B28+B29+B30</f>
        <v>64956.52</v>
      </c>
    </row>
    <row r="32" spans="1:2" x14ac:dyDescent="0.25">
      <c r="A32" s="19" t="s">
        <v>96</v>
      </c>
      <c r="B32" s="18"/>
    </row>
    <row r="33" spans="1:2" x14ac:dyDescent="0.25">
      <c r="A33" s="21" t="s">
        <v>97</v>
      </c>
      <c r="B33" s="20">
        <v>15.94</v>
      </c>
    </row>
    <row r="34" spans="1:2" x14ac:dyDescent="0.25">
      <c r="A34" s="21" t="s">
        <v>98</v>
      </c>
      <c r="B34" s="20">
        <v>275</v>
      </c>
    </row>
    <row r="35" spans="1:2" x14ac:dyDescent="0.25">
      <c r="A35" s="21" t="s">
        <v>99</v>
      </c>
      <c r="B35" s="20">
        <v>4252.41</v>
      </c>
    </row>
    <row r="36" spans="1:2" x14ac:dyDescent="0.25">
      <c r="A36" s="21" t="s">
        <v>100</v>
      </c>
      <c r="B36" s="20">
        <v>9976.23</v>
      </c>
    </row>
    <row r="37" spans="1:2" x14ac:dyDescent="0.25">
      <c r="A37" s="21" t="s">
        <v>101</v>
      </c>
      <c r="B37" s="20">
        <v>103.2</v>
      </c>
    </row>
    <row r="38" spans="1:2" x14ac:dyDescent="0.25">
      <c r="A38" s="21" t="s">
        <v>102</v>
      </c>
      <c r="B38" s="20">
        <v>53.36</v>
      </c>
    </row>
    <row r="39" spans="1:2" x14ac:dyDescent="0.25">
      <c r="A39" s="21" t="s">
        <v>103</v>
      </c>
      <c r="B39" s="20">
        <v>10</v>
      </c>
    </row>
    <row r="40" spans="1:2" x14ac:dyDescent="0.25">
      <c r="A40" s="21" t="s">
        <v>104</v>
      </c>
      <c r="B40" s="20">
        <v>564.99</v>
      </c>
    </row>
    <row r="41" spans="1:2" x14ac:dyDescent="0.25">
      <c r="A41" s="21" t="s">
        <v>105</v>
      </c>
      <c r="B41" s="20">
        <v>169.99</v>
      </c>
    </row>
    <row r="42" spans="1:2" x14ac:dyDescent="0.25">
      <c r="A42" s="21" t="s">
        <v>106</v>
      </c>
      <c r="B42" s="20">
        <v>488.11</v>
      </c>
    </row>
    <row r="43" spans="1:2" x14ac:dyDescent="0.25">
      <c r="A43" s="22" t="s">
        <v>107</v>
      </c>
      <c r="B43" s="24">
        <f>B32+B33+B34+B35+B36+B37+B38+B39+B40+B41+B42</f>
        <v>15909.23</v>
      </c>
    </row>
    <row r="44" spans="1:2" x14ac:dyDescent="0.25">
      <c r="A44" s="19" t="s">
        <v>108</v>
      </c>
      <c r="B44" s="18"/>
    </row>
    <row r="45" spans="1:2" x14ac:dyDescent="0.25">
      <c r="A45" s="21" t="s">
        <v>109</v>
      </c>
      <c r="B45" s="20">
        <v>4364.41</v>
      </c>
    </row>
    <row r="46" spans="1:2" x14ac:dyDescent="0.25">
      <c r="A46" s="21" t="s">
        <v>110</v>
      </c>
      <c r="B46" s="20">
        <v>2130.77</v>
      </c>
    </row>
    <row r="47" spans="1:2" x14ac:dyDescent="0.25">
      <c r="A47" s="21" t="s">
        <v>111</v>
      </c>
      <c r="B47" s="20">
        <v>18527.96</v>
      </c>
    </row>
    <row r="48" spans="1:2" x14ac:dyDescent="0.25">
      <c r="A48" s="21" t="s">
        <v>112</v>
      </c>
      <c r="B48" s="20">
        <v>691.13</v>
      </c>
    </row>
    <row r="49" spans="1:2" x14ac:dyDescent="0.25">
      <c r="A49" s="21" t="s">
        <v>113</v>
      </c>
      <c r="B49" s="20">
        <v>1455</v>
      </c>
    </row>
    <row r="50" spans="1:2" x14ac:dyDescent="0.25">
      <c r="A50" s="22" t="s">
        <v>114</v>
      </c>
      <c r="B50" s="24">
        <f>B44+B45+B46+B47+B48+B49</f>
        <v>27169.27</v>
      </c>
    </row>
    <row r="51" spans="1:2" x14ac:dyDescent="0.25">
      <c r="A51" s="19" t="s">
        <v>115</v>
      </c>
      <c r="B51" s="20">
        <v>446.8</v>
      </c>
    </row>
    <row r="52" spans="1:2" x14ac:dyDescent="0.25">
      <c r="A52" s="19" t="s">
        <v>116</v>
      </c>
      <c r="B52" s="20">
        <v>207.48</v>
      </c>
    </row>
    <row r="53" spans="1:2" x14ac:dyDescent="0.25">
      <c r="A53" s="19" t="s">
        <v>117</v>
      </c>
      <c r="B53" s="18"/>
    </row>
    <row r="54" spans="1:2" x14ac:dyDescent="0.25">
      <c r="A54" s="21" t="s">
        <v>118</v>
      </c>
      <c r="B54" s="20">
        <v>9146.06</v>
      </c>
    </row>
    <row r="55" spans="1:2" x14ac:dyDescent="0.25">
      <c r="A55" s="21" t="s">
        <v>119</v>
      </c>
      <c r="B55" s="20">
        <v>513.19000000000005</v>
      </c>
    </row>
    <row r="56" spans="1:2" x14ac:dyDescent="0.25">
      <c r="A56" s="22" t="s">
        <v>120</v>
      </c>
      <c r="B56" s="24">
        <f>B53+B54+B55</f>
        <v>9659.25</v>
      </c>
    </row>
    <row r="57" spans="1:2" x14ac:dyDescent="0.25">
      <c r="A57" s="19" t="s">
        <v>121</v>
      </c>
      <c r="B57" s="20">
        <v>150</v>
      </c>
    </row>
    <row r="58" spans="1:2" x14ac:dyDescent="0.25">
      <c r="A58" s="19" t="s">
        <v>122</v>
      </c>
      <c r="B58" s="20">
        <v>91.99</v>
      </c>
    </row>
    <row r="59" spans="1:2" x14ac:dyDescent="0.25">
      <c r="A59" s="19" t="s">
        <v>123</v>
      </c>
      <c r="B59" s="20">
        <v>152</v>
      </c>
    </row>
    <row r="60" spans="1:2" x14ac:dyDescent="0.25">
      <c r="A60" s="25" t="s">
        <v>124</v>
      </c>
      <c r="B60" s="24">
        <f>B23+B31+B43+B50+B51+B52+B56+B57+B58+B59</f>
        <v>193307.36</v>
      </c>
    </row>
    <row r="61" spans="1:2" x14ac:dyDescent="0.25">
      <c r="A61" s="25" t="s">
        <v>15</v>
      </c>
      <c r="B61" s="24">
        <v>456061.71000000008</v>
      </c>
    </row>
    <row r="62" spans="1:2" x14ac:dyDescent="0.25">
      <c r="A62" s="17" t="s">
        <v>125</v>
      </c>
    </row>
    <row r="63" spans="1:2" x14ac:dyDescent="0.25">
      <c r="A63" s="19" t="s">
        <v>126</v>
      </c>
      <c r="B63" s="20">
        <v>259.25</v>
      </c>
    </row>
    <row r="64" spans="1:2" x14ac:dyDescent="0.25">
      <c r="A64" s="25" t="s">
        <v>127</v>
      </c>
      <c r="B64" s="24">
        <f>B63</f>
        <v>259.25</v>
      </c>
    </row>
    <row r="65" spans="1:2" x14ac:dyDescent="0.25">
      <c r="A65" s="17" t="s">
        <v>55</v>
      </c>
    </row>
    <row r="66" spans="1:2" x14ac:dyDescent="0.25">
      <c r="A66" s="19" t="s">
        <v>128</v>
      </c>
      <c r="B66" s="20">
        <v>1303.29</v>
      </c>
    </row>
    <row r="67" spans="1:2" x14ac:dyDescent="0.25">
      <c r="A67" s="25" t="s">
        <v>129</v>
      </c>
      <c r="B67" s="24">
        <f>B66</f>
        <v>1303.29</v>
      </c>
    </row>
    <row r="68" spans="1:2" x14ac:dyDescent="0.25">
      <c r="A68" s="25" t="s">
        <v>58</v>
      </c>
      <c r="B68" s="24">
        <v>-1044.04</v>
      </c>
    </row>
    <row r="69" spans="1:2" x14ac:dyDescent="0.25">
      <c r="A69" s="25" t="s">
        <v>16</v>
      </c>
      <c r="B69" s="24">
        <v>455017.6700000001</v>
      </c>
    </row>
    <row r="73" spans="1:2" x14ac:dyDescent="0.25">
      <c r="A73" s="26" t="s">
        <v>130</v>
      </c>
      <c r="B73" s="13"/>
    </row>
  </sheetData>
  <mergeCells count="4">
    <mergeCell ref="A1:B1"/>
    <mergeCell ref="A2:B2"/>
    <mergeCell ref="A3:B3"/>
    <mergeCell ref="A73:B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EC1C-0921-493E-8D72-46AA7853F473}">
  <dimension ref="A1:B50"/>
  <sheetViews>
    <sheetView workbookViewId="0">
      <selection activeCell="G15" sqref="G15"/>
    </sheetView>
  </sheetViews>
  <sheetFormatPr defaultColWidth="12.85546875" defaultRowHeight="15" x14ac:dyDescent="0.25"/>
  <cols>
    <col min="1" max="1" width="35.140625" style="1" customWidth="1"/>
    <col min="2" max="2" width="17.42578125" style="1" customWidth="1"/>
  </cols>
  <sheetData>
    <row r="1" spans="1:2" x14ac:dyDescent="0.25">
      <c r="A1" s="12" t="s">
        <v>132</v>
      </c>
      <c r="B1" s="13"/>
    </row>
    <row r="2" spans="1:2" x14ac:dyDescent="0.25">
      <c r="A2" s="14" t="s">
        <v>175</v>
      </c>
      <c r="B2" s="13"/>
    </row>
    <row r="3" spans="1:2" x14ac:dyDescent="0.25">
      <c r="A3" s="15" t="s">
        <v>133</v>
      </c>
      <c r="B3" s="13"/>
    </row>
    <row r="5" spans="1:2" x14ac:dyDescent="0.25">
      <c r="A5" s="16" t="s">
        <v>62</v>
      </c>
      <c r="B5" s="16" t="s">
        <v>0</v>
      </c>
    </row>
    <row r="6" spans="1:2" x14ac:dyDescent="0.25">
      <c r="A6" s="17" t="s">
        <v>134</v>
      </c>
    </row>
    <row r="7" spans="1:2" x14ac:dyDescent="0.25">
      <c r="A7" s="19" t="s">
        <v>135</v>
      </c>
    </row>
    <row r="8" spans="1:2" x14ac:dyDescent="0.25">
      <c r="A8" s="21" t="s">
        <v>136</v>
      </c>
    </row>
    <row r="9" spans="1:2" x14ac:dyDescent="0.25">
      <c r="A9" s="27" t="s">
        <v>137</v>
      </c>
      <c r="B9" s="20">
        <v>430016.61</v>
      </c>
    </row>
    <row r="10" spans="1:2" x14ac:dyDescent="0.25">
      <c r="A10" s="28" t="s">
        <v>138</v>
      </c>
      <c r="B10" s="24">
        <f>B8+B9</f>
        <v>430016.61</v>
      </c>
    </row>
    <row r="11" spans="1:2" x14ac:dyDescent="0.25">
      <c r="A11" s="21" t="s">
        <v>139</v>
      </c>
    </row>
    <row r="12" spans="1:2" x14ac:dyDescent="0.25">
      <c r="A12" s="27" t="s">
        <v>140</v>
      </c>
      <c r="B12" s="20">
        <v>0</v>
      </c>
    </row>
    <row r="13" spans="1:2" x14ac:dyDescent="0.25">
      <c r="A13" s="28" t="s">
        <v>141</v>
      </c>
      <c r="B13" s="24">
        <f>B11+B12</f>
        <v>0</v>
      </c>
    </row>
    <row r="14" spans="1:2" x14ac:dyDescent="0.25">
      <c r="A14" s="21" t="s">
        <v>142</v>
      </c>
    </row>
    <row r="15" spans="1:2" x14ac:dyDescent="0.25">
      <c r="A15" s="27" t="s">
        <v>143</v>
      </c>
      <c r="B15" s="20">
        <v>11252.49</v>
      </c>
    </row>
    <row r="16" spans="1:2" x14ac:dyDescent="0.25">
      <c r="A16" s="27" t="s">
        <v>144</v>
      </c>
      <c r="B16" s="20">
        <v>1032</v>
      </c>
    </row>
    <row r="17" spans="1:2" x14ac:dyDescent="0.25">
      <c r="A17" s="28" t="s">
        <v>145</v>
      </c>
      <c r="B17" s="24">
        <f>B14+B15+B16</f>
        <v>12284.49</v>
      </c>
    </row>
    <row r="18" spans="1:2" x14ac:dyDescent="0.25">
      <c r="A18" s="22" t="s">
        <v>146</v>
      </c>
      <c r="B18" s="24">
        <f>B7+B10+B13+B17</f>
        <v>442301.1</v>
      </c>
    </row>
    <row r="19" spans="1:2" x14ac:dyDescent="0.25">
      <c r="A19" s="19" t="s">
        <v>147</v>
      </c>
    </row>
    <row r="20" spans="1:2" x14ac:dyDescent="0.25">
      <c r="A20" s="21" t="s">
        <v>148</v>
      </c>
      <c r="B20" s="20">
        <v>18299</v>
      </c>
    </row>
    <row r="21" spans="1:2" x14ac:dyDescent="0.25">
      <c r="A21" s="27" t="s">
        <v>149</v>
      </c>
      <c r="B21" s="20">
        <v>-1303.29</v>
      </c>
    </row>
    <row r="22" spans="1:2" x14ac:dyDescent="0.25">
      <c r="A22" s="28" t="s">
        <v>150</v>
      </c>
      <c r="B22" s="24">
        <f>B20+B21</f>
        <v>16995.71</v>
      </c>
    </row>
    <row r="23" spans="1:2" x14ac:dyDescent="0.25">
      <c r="A23" s="22" t="s">
        <v>151</v>
      </c>
      <c r="B23" s="24">
        <f>B19+B22</f>
        <v>16995.71</v>
      </c>
    </row>
    <row r="24" spans="1:2" x14ac:dyDescent="0.25">
      <c r="A24" s="19" t="s">
        <v>152</v>
      </c>
    </row>
    <row r="25" spans="1:2" x14ac:dyDescent="0.25">
      <c r="A25" s="21" t="s">
        <v>153</v>
      </c>
      <c r="B25" s="20">
        <v>1682.45</v>
      </c>
    </row>
    <row r="26" spans="1:2" x14ac:dyDescent="0.25">
      <c r="A26" s="22" t="s">
        <v>154</v>
      </c>
      <c r="B26" s="24">
        <f>B24+B25</f>
        <v>1682.45</v>
      </c>
    </row>
    <row r="27" spans="1:2" x14ac:dyDescent="0.25">
      <c r="A27" s="25" t="s">
        <v>155</v>
      </c>
      <c r="B27" s="24">
        <f>B18+B23+B26</f>
        <v>460979.26</v>
      </c>
    </row>
    <row r="28" spans="1:2" x14ac:dyDescent="0.25">
      <c r="A28" s="17" t="s">
        <v>156</v>
      </c>
    </row>
    <row r="29" spans="1:2" x14ac:dyDescent="0.25">
      <c r="A29" s="19" t="s">
        <v>157</v>
      </c>
    </row>
    <row r="30" spans="1:2" x14ac:dyDescent="0.25">
      <c r="A30" s="21" t="s">
        <v>158</v>
      </c>
    </row>
    <row r="31" spans="1:2" x14ac:dyDescent="0.25">
      <c r="A31" s="27" t="s">
        <v>159</v>
      </c>
    </row>
    <row r="32" spans="1:2" x14ac:dyDescent="0.25">
      <c r="A32" s="29" t="s">
        <v>160</v>
      </c>
      <c r="B32" s="20">
        <v>152</v>
      </c>
    </row>
    <row r="33" spans="1:2" x14ac:dyDescent="0.25">
      <c r="A33" s="30" t="s">
        <v>161</v>
      </c>
      <c r="B33" s="24">
        <f>B31+B32</f>
        <v>152</v>
      </c>
    </row>
    <row r="34" spans="1:2" x14ac:dyDescent="0.25">
      <c r="A34" s="27" t="s">
        <v>162</v>
      </c>
    </row>
    <row r="35" spans="1:2" x14ac:dyDescent="0.25">
      <c r="A35" s="29" t="s">
        <v>163</v>
      </c>
      <c r="B35" s="20">
        <v>2941.96</v>
      </c>
    </row>
    <row r="36" spans="1:2" x14ac:dyDescent="0.25">
      <c r="A36" s="30" t="s">
        <v>164</v>
      </c>
      <c r="B36" s="24">
        <f>B34+B35</f>
        <v>2941.96</v>
      </c>
    </row>
    <row r="37" spans="1:2" x14ac:dyDescent="0.25">
      <c r="A37" s="27" t="s">
        <v>165</v>
      </c>
    </row>
    <row r="38" spans="1:2" x14ac:dyDescent="0.25">
      <c r="A38" s="29" t="s">
        <v>166</v>
      </c>
      <c r="B38" s="20">
        <v>0</v>
      </c>
    </row>
    <row r="39" spans="1:2" x14ac:dyDescent="0.25">
      <c r="A39" s="30" t="s">
        <v>167</v>
      </c>
      <c r="B39" s="24">
        <f>B37+B38</f>
        <v>0</v>
      </c>
    </row>
    <row r="40" spans="1:2" x14ac:dyDescent="0.25">
      <c r="A40" s="28" t="s">
        <v>168</v>
      </c>
      <c r="B40" s="24">
        <f>B30+B33+B36+B39</f>
        <v>3093.96</v>
      </c>
    </row>
    <row r="41" spans="1:2" x14ac:dyDescent="0.25">
      <c r="A41" s="22" t="s">
        <v>169</v>
      </c>
      <c r="B41" s="24">
        <f>B29+B40</f>
        <v>3093.96</v>
      </c>
    </row>
    <row r="42" spans="1:2" x14ac:dyDescent="0.25">
      <c r="A42" s="19" t="s">
        <v>170</v>
      </c>
    </row>
    <row r="43" spans="1:2" x14ac:dyDescent="0.25">
      <c r="A43" s="21" t="s">
        <v>171</v>
      </c>
      <c r="B43" s="20">
        <v>2867.63</v>
      </c>
    </row>
    <row r="44" spans="1:2" x14ac:dyDescent="0.25">
      <c r="A44" s="21" t="s">
        <v>172</v>
      </c>
      <c r="B44" s="20">
        <v>455017.6700000001</v>
      </c>
    </row>
    <row r="45" spans="1:2" x14ac:dyDescent="0.25">
      <c r="A45" s="22" t="s">
        <v>173</v>
      </c>
      <c r="B45" s="24">
        <f>B42+B43+B44</f>
        <v>457885.3000000001</v>
      </c>
    </row>
    <row r="46" spans="1:2" x14ac:dyDescent="0.25">
      <c r="A46" s="25" t="s">
        <v>174</v>
      </c>
      <c r="B46" s="24">
        <f>B41+B45</f>
        <v>460979.26000000013</v>
      </c>
    </row>
    <row r="50" spans="1:2" x14ac:dyDescent="0.25">
      <c r="A50" s="26" t="s">
        <v>130</v>
      </c>
      <c r="B50" s="13"/>
    </row>
  </sheetData>
  <mergeCells count="4">
    <mergeCell ref="A1:B1"/>
    <mergeCell ref="A2:B2"/>
    <mergeCell ref="A3:B3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Statement of Activity by Custom</vt:lpstr>
      <vt:lpstr>Post fire webinar</vt:lpstr>
      <vt:lpstr>Bioremediation of Fire impacted</vt:lpstr>
      <vt:lpstr>Wildfire, Floods</vt:lpstr>
      <vt:lpstr>SIC urban soil</vt:lpstr>
      <vt:lpstr>FireAid</vt:lpstr>
      <vt:lpstr>P&amp;L by Class</vt:lpstr>
      <vt:lpstr>P&amp;L</vt:lpstr>
      <vt:lpstr>stmt of financial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 Mid</cp:lastModifiedBy>
  <dcterms:created xsi:type="dcterms:W3CDTF">2026-04-21T03:45:12Z</dcterms:created>
  <dcterms:modified xsi:type="dcterms:W3CDTF">2026-04-21T03:55:19Z</dcterms:modified>
</cp:coreProperties>
</file>